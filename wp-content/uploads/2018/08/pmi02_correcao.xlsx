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professor\Desktop\"/>
    </mc:Choice>
  </mc:AlternateContent>
  <bookViews>
    <workbookView xWindow="0" yWindow="0" windowWidth="24000" windowHeight="9600" activeTab="1"/>
  </bookViews>
  <sheets>
    <sheet name="Atividade 1" sheetId="2" r:id="rId1"/>
    <sheet name="Atividade 2" sheetId="1" r:id="rId2"/>
  </sheets>
  <definedNames>
    <definedName name="_xlchart.v1.0" hidden="1">'Atividade 2'!$F$2:$F$5</definedName>
    <definedName name="_xlchart.v1.1" hidden="1">'Atividade 2'!$G$2:$G$5</definedName>
    <definedName name="_xlchart.v1.2" hidden="1">'Atividade 2'!$F$2:$F$5</definedName>
    <definedName name="_xlchart.v1.3" hidden="1">'Atividade 2'!$G$2:$G$5</definedName>
    <definedName name="_xlchart.v1.4" hidden="1">'Atividade 2'!$F$2:$F$5</definedName>
    <definedName name="_xlchart.v1.5" hidden="1">'Atividade 2'!$G$2:$G$5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3" i="1" l="1"/>
  <c r="H4" i="1"/>
  <c r="H5" i="1"/>
  <c r="H2" i="1"/>
  <c r="G2" i="1"/>
  <c r="G5" i="1"/>
  <c r="G4" i="1"/>
  <c r="G3" i="1"/>
  <c r="D3" i="2"/>
  <c r="E3" i="2" s="1"/>
  <c r="F3" i="2" s="1"/>
  <c r="D4" i="2"/>
  <c r="E4" i="2" s="1"/>
  <c r="F4" i="2" s="1"/>
  <c r="D5" i="2"/>
  <c r="E5" i="2" s="1"/>
  <c r="F5" i="2" s="1"/>
  <c r="D6" i="2"/>
  <c r="E6" i="2" s="1"/>
  <c r="F6" i="2" s="1"/>
  <c r="D7" i="2"/>
  <c r="E7" i="2" s="1"/>
  <c r="F7" i="2" s="1"/>
  <c r="D8" i="2"/>
  <c r="E8" i="2" s="1"/>
  <c r="F8" i="2" s="1"/>
  <c r="D9" i="2"/>
  <c r="E9" i="2" s="1"/>
  <c r="F9" i="2" s="1"/>
  <c r="D10" i="2"/>
  <c r="E10" i="2" s="1"/>
  <c r="F10" i="2" s="1"/>
  <c r="D2" i="2"/>
  <c r="E2" i="2" s="1"/>
  <c r="F2" i="2" s="1"/>
</calcChain>
</file>

<file path=xl/sharedStrings.xml><?xml version="1.0" encoding="utf-8"?>
<sst xmlns="http://schemas.openxmlformats.org/spreadsheetml/2006/main" count="68" uniqueCount="44">
  <si>
    <t>Linha de Produtos</t>
  </si>
  <si>
    <t>Avaliação dos Clientes</t>
  </si>
  <si>
    <t>Valor Vendido</t>
  </si>
  <si>
    <t>Alpha</t>
  </si>
  <si>
    <t>Beta</t>
  </si>
  <si>
    <t>Gama</t>
  </si>
  <si>
    <t>Delta</t>
  </si>
  <si>
    <t>Omega</t>
  </si>
  <si>
    <t>epsilon</t>
  </si>
  <si>
    <t>dzeta</t>
  </si>
  <si>
    <t>eta</t>
  </si>
  <si>
    <t>teta</t>
  </si>
  <si>
    <t>iota</t>
  </si>
  <si>
    <t>capa</t>
  </si>
  <si>
    <t>lambda</t>
  </si>
  <si>
    <t>mi</t>
  </si>
  <si>
    <t>ni</t>
  </si>
  <si>
    <t>ksi</t>
  </si>
  <si>
    <t>oomicron</t>
  </si>
  <si>
    <t>pi</t>
  </si>
  <si>
    <t>rho</t>
  </si>
  <si>
    <t>sigma</t>
  </si>
  <si>
    <t>tau</t>
  </si>
  <si>
    <t>upsilon</t>
  </si>
  <si>
    <t>phi</t>
  </si>
  <si>
    <t>khi</t>
  </si>
  <si>
    <t>psi</t>
  </si>
  <si>
    <t>bom</t>
  </si>
  <si>
    <t>otimo</t>
  </si>
  <si>
    <t>regular</t>
  </si>
  <si>
    <t>pessimo</t>
  </si>
  <si>
    <t>Nome do Cliente</t>
  </si>
  <si>
    <t>Valor do Boleto</t>
  </si>
  <si>
    <t>Data de vencimento do Boleto</t>
  </si>
  <si>
    <t>Status</t>
  </si>
  <si>
    <t>Juros Corrigidos</t>
  </si>
  <si>
    <t>Total</t>
  </si>
  <si>
    <t>A</t>
  </si>
  <si>
    <t>B</t>
  </si>
  <si>
    <t>C</t>
  </si>
  <si>
    <t>D</t>
  </si>
  <si>
    <t>E</t>
  </si>
  <si>
    <t>F</t>
  </si>
  <si>
    <t>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</si>
</sst>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4" formatCode="_-&quot;R$&quot;\ * #,##0.00_-;\-&quot;R$&quot;\ * #,##0.00_-;_-&quot;R$&quot;\ 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2">
    <xf numFmtId="0" fontId="0" fillId="0" borderId="0" xfId="0"/>
    <xf numFmtId="0" fontId="0" fillId="0" borderId="1" xfId="0" applyBorder="1"/>
    <xf numFmtId="44" fontId="0" fillId="0" borderId="1" xfId="1" applyFont="1" applyBorder="1"/>
    <xf numFmtId="0" fontId="0" fillId="0" borderId="2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14" fontId="0" fillId="0" borderId="1" xfId="0" applyNumberFormat="1" applyBorder="1"/>
    <xf numFmtId="44" fontId="0" fillId="0" borderId="3" xfId="0" applyNumberFormat="1" applyBorder="1"/>
    <xf numFmtId="44" fontId="0" fillId="0" borderId="9" xfId="0" applyNumberFormat="1" applyBorder="1"/>
  </cellXfs>
  <cellStyles count="2">
    <cellStyle name="Moeda" xfId="1" builtinId="4"/>
    <cellStyle name="Normal" xfId="0" builtinId="0"/>
  </cellStyles>
  <dxfs count="13">
    <dxf>
      <numFmt numFmtId="34" formatCode="_-&quot;R$&quot;\ * #,##0.00_-;\-&quot;R$&quot;\ * #,##0.00_-;_-&quot;R$&quot;\ * &quot;-&quot;??_-;_-@_-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ill>
        <patternFill>
          <bgColor rgb="FFFF0000"/>
        </patternFill>
      </fill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_xlchart.v1.4</cx:f>
      </cx:strDim>
      <cx:numDim type="size">
        <cx:f>_xlchart.v1.5</cx:f>
      </cx:numDim>
    </cx:data>
  </cx:chartData>
  <cx:chart>
    <cx:title pos="t" align="ctr" overlay="0">
      <cx:tx>
        <cx:rich>
          <a:bodyPr rot="0" spcFirstLastPara="1" vertOverflow="ellipsis" vert="horz" wrap="square" lIns="38100" tIns="19050" rIns="38100" bIns="19050" anchor="ctr" anchorCtr="1" compatLnSpc="0"/>
          <a:lstStyle/>
          <a:p>
            <a:pPr algn="ctr" rtl="0"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x:rich>
      </cx:tx>
    </cx:title>
    <cx:plotArea>
      <cx:plotAreaRegion>
        <cx:series layoutId="treemap" uniqueId="{C1FED552-650A-4461-80F3-958305099A80}">
          <cx:dataLabels pos="inEnd">
            <cx:visibility seriesName="0" categoryName="1" value="0"/>
          </cx:dataLabels>
          <cx:dataId val="0"/>
          <cx:layoutPr>
            <cx:parentLabelLayout val="overlapping"/>
          </cx:layoutPr>
        </cx:series>
      </cx:plotAreaRegion>
    </cx:plotArea>
    <cx:legend pos="t" align="ctr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10">
  <cs:axisTitle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bg1">
          <a:lumMod val="65000"/>
        </a:schemeClr>
      </a:solidFill>
      <a:ln w="19050">
        <a:solidFill>
          <a:schemeClr val="bg1"/>
        </a:solidFill>
      </a:ln>
    </cs:spPr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bg1"/>
    </cs:fontRef>
    <cs:defRPr sz="900" kern="1200"/>
    <cs:bodyPr lIns="38100" tIns="19050" rIns="38100" bIns="19050">
      <a:spAutoFit/>
    </cs:bodyPr>
  </cs:dataLabel>
  <cs:dataLabelCallout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defRPr sz="900"/>
  </cs:dataTable>
  <cs:downBar>
    <cs:lnRef idx="0"/>
    <cs:fillRef idx="0"/>
    <cs:effectRef idx="0"/>
    <cs:fontRef idx="minor">
      <a:schemeClr val="tx1"/>
    </cs:fontRef>
    <cs:spPr>
      <a:solidFill>
        <a:schemeClr val="dk1"/>
      </a:solidFill>
    </cs:spPr>
  </cs:downBar>
  <cs:dropLine>
    <cs:lnRef idx="0"/>
    <cs:fillRef idx="0"/>
    <cs:effectRef idx="0"/>
    <cs:fontRef idx="minor">
      <a:schemeClr val="tx1"/>
    </cs:fontRef>
  </cs:dropLine>
  <cs:errorBar>
    <cs:lnRef idx="0"/>
    <cs:fillRef idx="0"/>
    <cs:effectRef idx="0"/>
    <cs:fontRef idx="minor">
      <a:schemeClr val="tx1"/>
    </cs:fontRef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  <a:lumOff val="10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</cs:hiLoLine>
  <cs:leaderLine>
    <cs:lnRef idx="0"/>
    <cs:fillRef idx="0"/>
    <cs:effectRef idx="0"/>
    <cs:fontRef idx="minor">
      <a:schemeClr val="tx1"/>
    </cs:fontRef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529827</xdr:colOff>
      <xdr:row>5</xdr:row>
      <xdr:rowOff>95249</xdr:rowOff>
    </xdr:from>
    <xdr:to>
      <xdr:col>10</xdr:col>
      <xdr:colOff>464343</xdr:colOff>
      <xdr:row>17</xdr:row>
      <xdr:rowOff>109536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Gráfico 1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Este gráfico não está disponível na sua versão de Excel.
Editar esta forma ou salvar esta pasta de trabalho em um formato de arquivo diferente quebrará o gráfico permanentemente.</a:t>
              </a:r>
            </a:p>
          </xdr:txBody>
        </xdr:sp>
      </mc:Fallback>
    </mc:AlternateContent>
    <xdr:clientData/>
  </xdr:twoCellAnchor>
</xdr:wsDr>
</file>

<file path=xl/tables/table1.xml><?xml version="1.0" encoding="utf-8"?>
<table xmlns="http://schemas.openxmlformats.org/spreadsheetml/2006/main" id="3" name="Tabela3" displayName="Tabela3" ref="A1:F10" totalsRowShown="0" headerRowDxfId="6" headerRowBorderDxfId="11" tableBorderDxfId="12" totalsRowBorderDxfId="10">
  <autoFilter ref="A1:F10"/>
  <tableColumns count="6">
    <tableColumn id="1" name="Nome do Cliente" dataDxfId="9"/>
    <tableColumn id="2" name="Valor do Boleto" dataDxfId="8"/>
    <tableColumn id="3" name="Data de vencimento do Boleto" dataDxfId="7"/>
    <tableColumn id="4" name="Status" dataDxfId="5">
      <calculatedColumnFormula>IF(_xlfn.DAYS(NOW(), C2)&gt;0,"VENCIDO","A VENCER")</calculatedColumnFormula>
    </tableColumn>
    <tableColumn id="5" name="Juros Corrigidos" dataDxfId="1" dataCellStyle="Moeda">
      <calculatedColumnFormula xml:space="preserve"> IF(D2 = "VENCIDO",(B2*0.01) + (_xlfn.DAYS(NOW(),C2)*(0.1/30)*B2),0)</calculatedColumnFormula>
    </tableColumn>
    <tableColumn id="6" name="Total" dataDxfId="0">
      <calculatedColumnFormula xml:space="preserve"> B2+E2</calculatedColumnFormula>
    </tableColumn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Views>
    <sheetView zoomScale="175" zoomScaleNormal="175" workbookViewId="0">
      <selection activeCell="F2" sqref="F2"/>
    </sheetView>
  </sheetViews>
  <sheetFormatPr defaultRowHeight="15" x14ac:dyDescent="0.25"/>
  <cols>
    <col min="1" max="1" width="16.7109375" customWidth="1"/>
    <col min="2" max="2" width="16.28515625" customWidth="1"/>
    <col min="3" max="3" width="30.7109375" customWidth="1"/>
    <col min="4" max="4" width="10.140625" customWidth="1"/>
    <col min="5" max="5" width="16.85546875" customWidth="1"/>
    <col min="6" max="6" width="13.140625" customWidth="1"/>
  </cols>
  <sheetData>
    <row r="1" spans="1:6" x14ac:dyDescent="0.25">
      <c r="A1" s="4" t="s">
        <v>31</v>
      </c>
      <c r="B1" s="5" t="s">
        <v>32</v>
      </c>
      <c r="C1" s="5" t="s">
        <v>33</v>
      </c>
      <c r="D1" s="5" t="s">
        <v>34</v>
      </c>
      <c r="E1" s="5" t="s">
        <v>35</v>
      </c>
      <c r="F1" s="6" t="s">
        <v>36</v>
      </c>
    </row>
    <row r="2" spans="1:6" x14ac:dyDescent="0.25">
      <c r="A2" s="3" t="s">
        <v>37</v>
      </c>
      <c r="B2" s="2">
        <v>152</v>
      </c>
      <c r="C2" s="9">
        <v>43322</v>
      </c>
      <c r="D2" s="1" t="str">
        <f ca="1">IF(_xlfn.DAYS(NOW(), C2)&gt;0,"VENCIDO","A VENCER")</f>
        <v>VENCIDO</v>
      </c>
      <c r="E2" s="2">
        <f ca="1" xml:space="preserve"> IF(D2 = "VENCIDO",(B2*0.01) + (_xlfn.DAYS(NOW(),C2)*(0.1/30)*B2),0)</f>
        <v>7.0933333333333337</v>
      </c>
      <c r="F2" s="10">
        <f t="shared" ref="F2:F10" ca="1" si="0" xml:space="preserve"> B2+E2</f>
        <v>159.09333333333333</v>
      </c>
    </row>
    <row r="3" spans="1:6" x14ac:dyDescent="0.25">
      <c r="A3" s="3" t="s">
        <v>38</v>
      </c>
      <c r="B3" s="2">
        <v>154</v>
      </c>
      <c r="C3" s="9">
        <v>43291</v>
      </c>
      <c r="D3" s="1" t="str">
        <f t="shared" ref="D3:D10" ca="1" si="1">IF(_xlfn.DAYS(NOW(), C3)&gt;0,"VENCIDO","A VENCER")</f>
        <v>VENCIDO</v>
      </c>
      <c r="E3" s="2">
        <f t="shared" ref="E3:E10" ca="1" si="2" xml:space="preserve"> IF(D3 = "VENCIDO",(B3*0.01) + (_xlfn.DAYS(NOW(),C3)*(0.1/30)*B3),0)</f>
        <v>23.1</v>
      </c>
      <c r="F3" s="10">
        <f t="shared" ca="1" si="0"/>
        <v>177.1</v>
      </c>
    </row>
    <row r="4" spans="1:6" x14ac:dyDescent="0.25">
      <c r="A4" s="3" t="s">
        <v>39</v>
      </c>
      <c r="B4" s="2">
        <v>236</v>
      </c>
      <c r="C4" s="9">
        <v>43353</v>
      </c>
      <c r="D4" s="1" t="str">
        <f t="shared" ca="1" si="1"/>
        <v>A VENCER</v>
      </c>
      <c r="E4" s="2">
        <f t="shared" ca="1" si="2"/>
        <v>0</v>
      </c>
      <c r="F4" s="10">
        <f t="shared" ca="1" si="0"/>
        <v>236</v>
      </c>
    </row>
    <row r="5" spans="1:6" x14ac:dyDescent="0.25">
      <c r="A5" s="3" t="s">
        <v>40</v>
      </c>
      <c r="B5" s="2">
        <v>158</v>
      </c>
      <c r="C5" s="9">
        <v>43332</v>
      </c>
      <c r="D5" s="1" t="str">
        <f t="shared" ca="1" si="1"/>
        <v>VENCIDO</v>
      </c>
      <c r="E5" s="2">
        <f t="shared" ca="1" si="2"/>
        <v>2.1066666666666669</v>
      </c>
      <c r="F5" s="10">
        <f t="shared" ca="1" si="0"/>
        <v>160.10666666666665</v>
      </c>
    </row>
    <row r="6" spans="1:6" x14ac:dyDescent="0.25">
      <c r="A6" s="3" t="s">
        <v>41</v>
      </c>
      <c r="B6" s="2">
        <v>205</v>
      </c>
      <c r="C6" s="9">
        <v>43363</v>
      </c>
      <c r="D6" s="1" t="str">
        <f t="shared" ca="1" si="1"/>
        <v>A VENCER</v>
      </c>
      <c r="E6" s="2">
        <f t="shared" ca="1" si="2"/>
        <v>0</v>
      </c>
      <c r="F6" s="10">
        <f t="shared" ca="1" si="0"/>
        <v>205</v>
      </c>
    </row>
    <row r="7" spans="1:6" x14ac:dyDescent="0.25">
      <c r="A7" s="3" t="s">
        <v>42</v>
      </c>
      <c r="B7" s="2">
        <v>360</v>
      </c>
      <c r="C7" s="9">
        <v>43333</v>
      </c>
      <c r="D7" s="1" t="str">
        <f t="shared" ca="1" si="1"/>
        <v>A VENCER</v>
      </c>
      <c r="E7" s="2">
        <f t="shared" ca="1" si="2"/>
        <v>0</v>
      </c>
      <c r="F7" s="10">
        <f t="shared" ca="1" si="0"/>
        <v>360</v>
      </c>
    </row>
    <row r="8" spans="1:6" x14ac:dyDescent="0.25">
      <c r="A8" s="3" t="s">
        <v>43</v>
      </c>
      <c r="B8" s="2">
        <v>129</v>
      </c>
      <c r="C8" s="9">
        <v>43335</v>
      </c>
      <c r="D8" s="1" t="str">
        <f t="shared" ca="1" si="1"/>
        <v>A VENCER</v>
      </c>
      <c r="E8" s="2">
        <f t="shared" ca="1" si="2"/>
        <v>0</v>
      </c>
      <c r="F8" s="10">
        <f t="shared" ca="1" si="0"/>
        <v>129</v>
      </c>
    </row>
    <row r="9" spans="1:6" x14ac:dyDescent="0.25">
      <c r="A9" s="3"/>
      <c r="B9" s="1"/>
      <c r="C9" s="1"/>
      <c r="D9" s="1" t="str">
        <f t="shared" ca="1" si="1"/>
        <v>VENCIDO</v>
      </c>
      <c r="E9" s="2">
        <f t="shared" ca="1" si="2"/>
        <v>0</v>
      </c>
      <c r="F9" s="10">
        <f t="shared" ca="1" si="0"/>
        <v>0</v>
      </c>
    </row>
    <row r="10" spans="1:6" x14ac:dyDescent="0.25">
      <c r="A10" s="7"/>
      <c r="B10" s="8"/>
      <c r="C10" s="8"/>
      <c r="D10" s="1" t="str">
        <f t="shared" ca="1" si="1"/>
        <v>VENCIDO</v>
      </c>
      <c r="E10" s="2">
        <f t="shared" ca="1" si="2"/>
        <v>0</v>
      </c>
      <c r="F10" s="11">
        <f t="shared" ca="1" si="0"/>
        <v>0</v>
      </c>
    </row>
  </sheetData>
  <conditionalFormatting sqref="D2:D10">
    <cfRule type="cellIs" dxfId="4" priority="2" operator="equal">
      <formula>"VENCIDO"</formula>
    </cfRule>
  </conditionalFormatting>
  <conditionalFormatting sqref="D2:D10">
    <cfRule type="cellIs" dxfId="3" priority="1" operator="equal">
      <formula>"A VENCER"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Views>
    <sheetView tabSelected="1" zoomScale="160" zoomScaleNormal="160" workbookViewId="0">
      <selection activeCell="J4" sqref="J4"/>
    </sheetView>
  </sheetViews>
  <sheetFormatPr defaultRowHeight="15" x14ac:dyDescent="0.25"/>
  <cols>
    <col min="1" max="1" width="17.28515625" customWidth="1"/>
    <col min="2" max="2" width="21.5703125" customWidth="1"/>
    <col min="3" max="3" width="14.7109375" customWidth="1"/>
    <col min="8" max="8" width="14.4257812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</row>
    <row r="2" spans="1:8" x14ac:dyDescent="0.25">
      <c r="A2" s="1" t="s">
        <v>3</v>
      </c>
      <c r="B2" s="1" t="s">
        <v>27</v>
      </c>
      <c r="C2" s="2">
        <v>48500</v>
      </c>
      <c r="F2" s="1" t="s">
        <v>30</v>
      </c>
      <c r="G2" s="1">
        <f>COUNTIF(B2:B25,F2)</f>
        <v>3</v>
      </c>
      <c r="H2" s="2">
        <f>SUMIF(B$2:B$25,F2,C$2:C$25)</f>
        <v>61500</v>
      </c>
    </row>
    <row r="3" spans="1:8" x14ac:dyDescent="0.25">
      <c r="A3" s="1" t="s">
        <v>4</v>
      </c>
      <c r="B3" s="1" t="s">
        <v>28</v>
      </c>
      <c r="C3" s="2">
        <v>48762</v>
      </c>
      <c r="F3" s="1" t="s">
        <v>29</v>
      </c>
      <c r="G3" s="1">
        <f>COUNTIF(B2:B25,F3)</f>
        <v>5</v>
      </c>
      <c r="H3" s="2">
        <f t="shared" ref="H3:H5" si="0">SUMIF(B$2:B$25,F3,C$2:C$25)</f>
        <v>159610</v>
      </c>
    </row>
    <row r="4" spans="1:8" x14ac:dyDescent="0.25">
      <c r="A4" s="1" t="s">
        <v>5</v>
      </c>
      <c r="B4" s="1" t="s">
        <v>27</v>
      </c>
      <c r="C4" s="2">
        <v>12579</v>
      </c>
      <c r="F4" s="1" t="s">
        <v>27</v>
      </c>
      <c r="G4" s="1">
        <f>COUNTIF(B2:B25,F4)</f>
        <v>9</v>
      </c>
      <c r="H4" s="2">
        <f t="shared" si="0"/>
        <v>584386</v>
      </c>
    </row>
    <row r="5" spans="1:8" x14ac:dyDescent="0.25">
      <c r="A5" s="1" t="s">
        <v>6</v>
      </c>
      <c r="B5" s="1" t="s">
        <v>27</v>
      </c>
      <c r="C5" s="2">
        <v>12793</v>
      </c>
      <c r="F5" s="1" t="s">
        <v>28</v>
      </c>
      <c r="G5" s="1">
        <f>COUNTIF(B2:B25,F5)</f>
        <v>7</v>
      </c>
      <c r="H5" s="2">
        <f t="shared" si="0"/>
        <v>309212</v>
      </c>
    </row>
    <row r="6" spans="1:8" x14ac:dyDescent="0.25">
      <c r="A6" s="1" t="s">
        <v>7</v>
      </c>
      <c r="B6" s="1" t="s">
        <v>28</v>
      </c>
      <c r="C6" s="2">
        <v>35509</v>
      </c>
    </row>
    <row r="7" spans="1:8" x14ac:dyDescent="0.25">
      <c r="A7" s="1" t="s">
        <v>8</v>
      </c>
      <c r="B7" s="1" t="s">
        <v>29</v>
      </c>
      <c r="C7" s="2">
        <v>24599</v>
      </c>
    </row>
    <row r="8" spans="1:8" x14ac:dyDescent="0.25">
      <c r="A8" s="1" t="s">
        <v>9</v>
      </c>
      <c r="B8" s="1" t="s">
        <v>28</v>
      </c>
      <c r="C8" s="2">
        <v>75056</v>
      </c>
    </row>
    <row r="9" spans="1:8" x14ac:dyDescent="0.25">
      <c r="A9" s="1" t="s">
        <v>10</v>
      </c>
      <c r="B9" s="1" t="s">
        <v>27</v>
      </c>
      <c r="C9" s="2">
        <v>27705</v>
      </c>
    </row>
    <row r="10" spans="1:8" x14ac:dyDescent="0.25">
      <c r="A10" s="1" t="s">
        <v>11</v>
      </c>
      <c r="B10" s="1" t="s">
        <v>30</v>
      </c>
      <c r="C10" s="2">
        <v>54467</v>
      </c>
    </row>
    <row r="11" spans="1:8" x14ac:dyDescent="0.25">
      <c r="A11" s="1" t="s">
        <v>12</v>
      </c>
      <c r="B11" s="1" t="s">
        <v>28</v>
      </c>
      <c r="C11" s="2">
        <v>74814</v>
      </c>
    </row>
    <row r="12" spans="1:8" x14ac:dyDescent="0.25">
      <c r="A12" s="1" t="s">
        <v>13</v>
      </c>
      <c r="B12" s="1" t="s">
        <v>27</v>
      </c>
      <c r="C12" s="2">
        <v>28635</v>
      </c>
    </row>
    <row r="13" spans="1:8" x14ac:dyDescent="0.25">
      <c r="A13" s="1" t="s">
        <v>14</v>
      </c>
      <c r="B13" s="1" t="s">
        <v>30</v>
      </c>
      <c r="C13" s="2">
        <v>4548</v>
      </c>
    </row>
    <row r="14" spans="1:8" x14ac:dyDescent="0.25">
      <c r="A14" s="1" t="s">
        <v>15</v>
      </c>
      <c r="B14" s="1" t="s">
        <v>29</v>
      </c>
      <c r="C14" s="2">
        <v>68598</v>
      </c>
    </row>
    <row r="15" spans="1:8" x14ac:dyDescent="0.25">
      <c r="A15" s="1" t="s">
        <v>16</v>
      </c>
      <c r="B15" s="1" t="s">
        <v>28</v>
      </c>
      <c r="C15" s="2">
        <v>28996</v>
      </c>
    </row>
    <row r="16" spans="1:8" x14ac:dyDescent="0.25">
      <c r="A16" s="1" t="s">
        <v>17</v>
      </c>
      <c r="B16" s="1" t="s">
        <v>27</v>
      </c>
      <c r="C16" s="2">
        <v>129763</v>
      </c>
    </row>
    <row r="17" spans="1:3" x14ac:dyDescent="0.25">
      <c r="A17" s="1" t="s">
        <v>18</v>
      </c>
      <c r="B17" s="1" t="s">
        <v>27</v>
      </c>
      <c r="C17" s="2">
        <v>212385</v>
      </c>
    </row>
    <row r="18" spans="1:3" x14ac:dyDescent="0.25">
      <c r="A18" s="1" t="s">
        <v>19</v>
      </c>
      <c r="B18" s="1" t="s">
        <v>28</v>
      </c>
      <c r="C18" s="2">
        <v>21218</v>
      </c>
    </row>
    <row r="19" spans="1:3" x14ac:dyDescent="0.25">
      <c r="A19" s="1" t="s">
        <v>20</v>
      </c>
      <c r="B19" s="1" t="s">
        <v>29</v>
      </c>
      <c r="C19" s="2">
        <v>11683</v>
      </c>
    </row>
    <row r="20" spans="1:3" x14ac:dyDescent="0.25">
      <c r="A20" s="1" t="s">
        <v>21</v>
      </c>
      <c r="B20" s="1" t="s">
        <v>27</v>
      </c>
      <c r="C20" s="2">
        <v>87839</v>
      </c>
    </row>
    <row r="21" spans="1:3" x14ac:dyDescent="0.25">
      <c r="A21" s="1" t="s">
        <v>22</v>
      </c>
      <c r="B21" s="1" t="s">
        <v>29</v>
      </c>
      <c r="C21" s="2">
        <v>32873</v>
      </c>
    </row>
    <row r="22" spans="1:3" x14ac:dyDescent="0.25">
      <c r="A22" s="1" t="s">
        <v>23</v>
      </c>
      <c r="B22" s="1" t="s">
        <v>30</v>
      </c>
      <c r="C22" s="2">
        <v>2485</v>
      </c>
    </row>
    <row r="23" spans="1:3" x14ac:dyDescent="0.25">
      <c r="A23" s="1" t="s">
        <v>24</v>
      </c>
      <c r="B23" s="1" t="s">
        <v>27</v>
      </c>
      <c r="C23" s="2">
        <v>24187</v>
      </c>
    </row>
    <row r="24" spans="1:3" x14ac:dyDescent="0.25">
      <c r="A24" s="1" t="s">
        <v>25</v>
      </c>
      <c r="B24" s="1" t="s">
        <v>29</v>
      </c>
      <c r="C24" s="2">
        <v>21857</v>
      </c>
    </row>
    <row r="25" spans="1:3" x14ac:dyDescent="0.25">
      <c r="A25" s="1" t="s">
        <v>26</v>
      </c>
      <c r="B25" s="1" t="s">
        <v>28</v>
      </c>
      <c r="C25" s="2">
        <v>24857</v>
      </c>
    </row>
  </sheetData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Atividade 1</vt:lpstr>
      <vt:lpstr>Atividade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Professor</dc:creator>
  <cp:lastModifiedBy>Professor</cp:lastModifiedBy>
  <dcterms:created xsi:type="dcterms:W3CDTF">2016-03-10T11:00:35Z</dcterms:created>
  <dcterms:modified xsi:type="dcterms:W3CDTF">2018-08-21T22:33:58Z</dcterms:modified>
</cp:coreProperties>
</file>