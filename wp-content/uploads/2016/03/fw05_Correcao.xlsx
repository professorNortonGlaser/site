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ofessor\Desktop\"/>
    </mc:Choice>
  </mc:AlternateContent>
  <bookViews>
    <workbookView xWindow="0" yWindow="0" windowWidth="13395" windowHeight="618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E3" i="1"/>
  <c r="F3" i="1" s="1"/>
  <c r="H3" i="1" s="1"/>
  <c r="E4" i="1"/>
  <c r="F4" i="1" s="1"/>
  <c r="E5" i="1"/>
  <c r="F5" i="1" s="1"/>
  <c r="E6" i="1"/>
  <c r="F6" i="1" s="1"/>
  <c r="E2" i="1"/>
  <c r="F2" i="1" s="1"/>
  <c r="H2" i="1" s="1"/>
  <c r="D3" i="1"/>
  <c r="D4" i="1"/>
  <c r="D5" i="1"/>
  <c r="D6" i="1"/>
  <c r="D2" i="1"/>
  <c r="H6" i="1" l="1"/>
  <c r="H4" i="1"/>
  <c r="H5" i="1"/>
</calcChain>
</file>

<file path=xl/sharedStrings.xml><?xml version="1.0" encoding="utf-8"?>
<sst xmlns="http://schemas.openxmlformats.org/spreadsheetml/2006/main" count="18" uniqueCount="17">
  <si>
    <t>Nome do Cliente</t>
  </si>
  <si>
    <t>Valor do Boleto</t>
  </si>
  <si>
    <t>Data de Vencimento</t>
  </si>
  <si>
    <t>maria</t>
  </si>
  <si>
    <t>joão</t>
  </si>
  <si>
    <t>jose</t>
  </si>
  <si>
    <t>ana</t>
  </si>
  <si>
    <t>Daiane</t>
  </si>
  <si>
    <t>Dias Vencidos</t>
  </si>
  <si>
    <t>Juros</t>
  </si>
  <si>
    <t>Multa</t>
  </si>
  <si>
    <t>Valor atual</t>
  </si>
  <si>
    <t>Quantida de dias vencidos</t>
  </si>
  <si>
    <t>juros</t>
  </si>
  <si>
    <t xml:space="preserve"> SE(C2 &lt; HOJE(); DIAS(HOJE(); C2); 0)</t>
  </si>
  <si>
    <t xml:space="preserve"> ((0,1/30))*E2*B2</t>
  </si>
  <si>
    <t xml:space="preserve"> SE(c2 &lt; HOJE(); (B2*0,01) ;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</si>
</sst>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14" fontId="0" fillId="0" borderId="0" xfId="0" applyNumberFormat="1"/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topLeftCell="B1" zoomScale="150" zoomScaleNormal="150" workbookViewId="0">
      <selection activeCell="E11" sqref="E11"/>
    </sheetView>
  </sheetViews>
  <sheetFormatPr defaultRowHeight="15" x14ac:dyDescent="0.25"/>
  <cols>
    <col min="1" max="1" width="14.7109375" customWidth="1"/>
    <col min="2" max="2" width="15" customWidth="1"/>
    <col min="3" max="3" width="18.42578125" customWidth="1"/>
    <col min="5" max="5" width="12.42578125" customWidth="1"/>
    <col min="6" max="6" width="12.28515625" customWidth="1"/>
    <col min="7" max="7" width="9.5703125" bestFit="1" customWidth="1"/>
    <col min="8" max="8" width="12.140625" bestFit="1" customWidth="1"/>
  </cols>
  <sheetData>
    <row r="1" spans="1:8" x14ac:dyDescent="0.25">
      <c r="A1" t="s">
        <v>0</v>
      </c>
      <c r="B1" t="s">
        <v>1</v>
      </c>
      <c r="C1" t="s">
        <v>2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</v>
      </c>
      <c r="B2" s="1">
        <v>5486</v>
      </c>
      <c r="C2" s="2">
        <v>42401</v>
      </c>
      <c r="D2" t="str">
        <f ca="1" xml:space="preserve"> IF( C2 &lt; TODAY(), "Vencido", "A Vencer")</f>
        <v>Vencido</v>
      </c>
      <c r="E2">
        <f ca="1" xml:space="preserve"> IF(C2 &lt; TODAY(), _xlfn.DAYS(TODAY(), C2), 0)</f>
        <v>38</v>
      </c>
      <c r="F2" s="3">
        <f ca="1" xml:space="preserve"> ((0.1/30))*E2*B2</f>
        <v>694.89333333333343</v>
      </c>
      <c r="G2" s="3">
        <f ca="1" xml:space="preserve"> IF(C2 &lt; TODAY(), B2*0.01, 0)</f>
        <v>54.86</v>
      </c>
      <c r="H2" s="3">
        <f ca="1">B2+F2+G2</f>
        <v>6235.7533333333331</v>
      </c>
    </row>
    <row r="3" spans="1:8" x14ac:dyDescent="0.25">
      <c r="A3" t="s">
        <v>4</v>
      </c>
      <c r="B3" s="1">
        <v>5435</v>
      </c>
      <c r="C3" s="2">
        <v>42494</v>
      </c>
      <c r="D3" t="str">
        <f t="shared" ref="D3:D6" ca="1" si="0" xml:space="preserve"> IF( C3 &lt; TODAY(), "Vencido", "A Vencer")</f>
        <v>A Vencer</v>
      </c>
      <c r="E3">
        <f t="shared" ref="E3:E6" ca="1" si="1" xml:space="preserve"> IF(C3 &lt; TODAY(), _xlfn.DAYS(TODAY(), C3), 0)</f>
        <v>0</v>
      </c>
      <c r="F3" s="3">
        <f t="shared" ref="F3:F6" ca="1" si="2" xml:space="preserve"> ((0.1/30))*E3*B3</f>
        <v>0</v>
      </c>
      <c r="G3" s="3">
        <f t="shared" ref="G3:G6" ca="1" si="3" xml:space="preserve"> IF(C3 &lt; TODAY(), B3*0.01, 0)</f>
        <v>0</v>
      </c>
      <c r="H3" s="3">
        <f t="shared" ref="H3:H6" ca="1" si="4">B3+F3+G3</f>
        <v>5435</v>
      </c>
    </row>
    <row r="4" spans="1:8" x14ac:dyDescent="0.25">
      <c r="A4" t="s">
        <v>5</v>
      </c>
      <c r="B4" s="1">
        <v>2487</v>
      </c>
      <c r="C4" s="2">
        <v>42434</v>
      </c>
      <c r="D4" t="str">
        <f t="shared" ca="1" si="0"/>
        <v>Vencido</v>
      </c>
      <c r="E4">
        <f t="shared" ca="1" si="1"/>
        <v>5</v>
      </c>
      <c r="F4" s="3">
        <f t="shared" ca="1" si="2"/>
        <v>41.45</v>
      </c>
      <c r="G4" s="3">
        <f t="shared" ca="1" si="3"/>
        <v>24.87</v>
      </c>
      <c r="H4" s="3">
        <f t="shared" ca="1" si="4"/>
        <v>2553.3199999999997</v>
      </c>
    </row>
    <row r="5" spans="1:8" x14ac:dyDescent="0.25">
      <c r="A5" t="s">
        <v>6</v>
      </c>
      <c r="B5" s="1">
        <v>1587</v>
      </c>
      <c r="C5" s="2">
        <v>42495</v>
      </c>
      <c r="D5" t="str">
        <f t="shared" ca="1" si="0"/>
        <v>A Vencer</v>
      </c>
      <c r="E5">
        <f t="shared" ca="1" si="1"/>
        <v>0</v>
      </c>
      <c r="F5" s="3">
        <f t="shared" ca="1" si="2"/>
        <v>0</v>
      </c>
      <c r="G5" s="3">
        <f t="shared" ca="1" si="3"/>
        <v>0</v>
      </c>
      <c r="H5" s="3">
        <f t="shared" ca="1" si="4"/>
        <v>1587</v>
      </c>
    </row>
    <row r="6" spans="1:8" x14ac:dyDescent="0.25">
      <c r="A6" t="s">
        <v>7</v>
      </c>
      <c r="B6" s="1">
        <v>1789</v>
      </c>
      <c r="C6" s="2">
        <v>42370</v>
      </c>
      <c r="D6" t="str">
        <f t="shared" ca="1" si="0"/>
        <v>Vencido</v>
      </c>
      <c r="E6">
        <f t="shared" ca="1" si="1"/>
        <v>69</v>
      </c>
      <c r="F6" s="3">
        <f t="shared" ca="1" si="2"/>
        <v>411.47</v>
      </c>
      <c r="G6" s="3">
        <f t="shared" ca="1" si="3"/>
        <v>17.89</v>
      </c>
      <c r="H6" s="3">
        <f t="shared" ca="1" si="4"/>
        <v>2218.36</v>
      </c>
    </row>
    <row r="8" spans="1:8" x14ac:dyDescent="0.25">
      <c r="B8" t="s">
        <v>12</v>
      </c>
    </row>
    <row r="9" spans="1:8" x14ac:dyDescent="0.25">
      <c r="B9" t="s">
        <v>14</v>
      </c>
    </row>
    <row r="11" spans="1:8" x14ac:dyDescent="0.25">
      <c r="B11" t="s">
        <v>13</v>
      </c>
    </row>
    <row r="12" spans="1:8" x14ac:dyDescent="0.25">
      <c r="B12" t="s">
        <v>15</v>
      </c>
    </row>
    <row r="14" spans="1:8" x14ac:dyDescent="0.25">
      <c r="B14" t="s">
        <v>10</v>
      </c>
    </row>
    <row r="15" spans="1:8" x14ac:dyDescent="0.25">
      <c r="B15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</dc:creator>
  <cp:lastModifiedBy>Professor</cp:lastModifiedBy>
  <dcterms:created xsi:type="dcterms:W3CDTF">2016-03-10T11:11:00Z</dcterms:created>
  <dcterms:modified xsi:type="dcterms:W3CDTF">2016-03-10T11:32:12Z</dcterms:modified>
</cp:coreProperties>
</file>