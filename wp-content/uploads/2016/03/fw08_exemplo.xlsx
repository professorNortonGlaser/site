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fessor\Desktop\"/>
    </mc:Choice>
  </mc:AlternateContent>
  <bookViews>
    <workbookView xWindow="0" yWindow="0" windowWidth="1536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3" i="1"/>
  <c r="F3" i="1"/>
  <c r="C3" i="1"/>
</calcChain>
</file>

<file path=xl/sharedStrings.xml><?xml version="1.0" encoding="utf-8"?>
<sst xmlns="http://schemas.openxmlformats.org/spreadsheetml/2006/main" count="17" uniqueCount="10">
  <si>
    <t>Periodo</t>
  </si>
  <si>
    <t>Valor</t>
  </si>
  <si>
    <t>TIR(B3:B8)</t>
  </si>
  <si>
    <t>PROJETO A</t>
  </si>
  <si>
    <t>PROJETO B</t>
  </si>
  <si>
    <t>Taxa Efetiva</t>
  </si>
  <si>
    <t>Taxa Nominal</t>
  </si>
  <si>
    <t>Taxa Nominal Anual</t>
  </si>
  <si>
    <t>capitalização</t>
  </si>
  <si>
    <t>EFETIVA(B11; B12)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</si>
</sst>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44" fontId="0" fillId="2" borderId="0" xfId="1" applyFont="1" applyFill="1" applyBorder="1"/>
    <xf numFmtId="10" fontId="0" fillId="2" borderId="5" xfId="0" applyNumberFormat="1" applyFill="1" applyBorder="1"/>
    <xf numFmtId="0" fontId="0" fillId="2" borderId="6" xfId="0" applyFill="1" applyBorder="1"/>
    <xf numFmtId="44" fontId="0" fillId="2" borderId="7" xfId="1" applyFont="1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44" fontId="0" fillId="3" borderId="0" xfId="1" applyFont="1" applyFill="1" applyBorder="1"/>
    <xf numFmtId="10" fontId="0" fillId="3" borderId="5" xfId="0" applyNumberFormat="1" applyFill="1" applyBorder="1"/>
    <xf numFmtId="0" fontId="0" fillId="3" borderId="6" xfId="0" applyFill="1" applyBorder="1"/>
    <xf numFmtId="44" fontId="0" fillId="3" borderId="7" xfId="1" applyFont="1" applyFill="1" applyBorder="1"/>
    <xf numFmtId="0" fontId="0" fillId="3" borderId="8" xfId="0" applyFill="1" applyBorder="1"/>
    <xf numFmtId="10" fontId="0" fillId="3" borderId="7" xfId="2" applyNumberFormat="1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9" fontId="0" fillId="4" borderId="0" xfId="2" applyFont="1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10" fontId="0" fillId="4" borderId="7" xfId="2" applyNumberFormat="1" applyFont="1" applyFill="1" applyBorder="1"/>
    <xf numFmtId="0" fontId="0" fillId="4" borderId="8" xfId="0" applyFill="1" applyBorder="1"/>
    <xf numFmtId="10" fontId="0" fillId="3" borderId="0" xfId="2" applyNumberFormat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topLeftCell="A4" zoomScale="145" zoomScaleNormal="145" workbookViewId="0">
      <selection activeCell="D19" sqref="D19"/>
    </sheetView>
  </sheetViews>
  <sheetFormatPr defaultRowHeight="15" x14ac:dyDescent="0.25"/>
  <cols>
    <col min="1" max="1" width="17.85546875" customWidth="1"/>
    <col min="2" max="2" width="14.5703125" bestFit="1" customWidth="1"/>
    <col min="3" max="3" width="17.28515625" customWidth="1"/>
    <col min="5" max="5" width="14.5703125" customWidth="1"/>
    <col min="6" max="6" width="10.7109375" customWidth="1"/>
  </cols>
  <sheetData>
    <row r="1" spans="1:6" x14ac:dyDescent="0.25">
      <c r="A1" s="12" t="s">
        <v>3</v>
      </c>
      <c r="B1" s="13"/>
      <c r="C1" s="14"/>
      <c r="D1" s="1" t="s">
        <v>4</v>
      </c>
      <c r="E1" s="2"/>
      <c r="F1" s="3"/>
    </row>
    <row r="2" spans="1:6" x14ac:dyDescent="0.25">
      <c r="A2" s="15" t="s">
        <v>0</v>
      </c>
      <c r="B2" s="16" t="s">
        <v>1</v>
      </c>
      <c r="C2" s="17"/>
      <c r="D2" s="4" t="s">
        <v>0</v>
      </c>
      <c r="E2" s="5" t="s">
        <v>1</v>
      </c>
      <c r="F2" s="6"/>
    </row>
    <row r="3" spans="1:6" x14ac:dyDescent="0.25">
      <c r="A3" s="15">
        <v>0</v>
      </c>
      <c r="B3" s="18">
        <v>-100000</v>
      </c>
      <c r="C3" s="19">
        <f xml:space="preserve"> IRR(B3:B8)</f>
        <v>0.14723412577362294</v>
      </c>
      <c r="D3" s="4">
        <v>0</v>
      </c>
      <c r="E3" s="7">
        <v>-100000</v>
      </c>
      <c r="F3" s="8">
        <f xml:space="preserve"> IRR(E3:E8)</f>
        <v>0.29713930996393256</v>
      </c>
    </row>
    <row r="4" spans="1:6" x14ac:dyDescent="0.25">
      <c r="A4" s="15">
        <v>1</v>
      </c>
      <c r="B4" s="18">
        <v>22000</v>
      </c>
      <c r="C4" s="17" t="s">
        <v>2</v>
      </c>
      <c r="D4" s="4">
        <v>1</v>
      </c>
      <c r="E4" s="7">
        <v>1000</v>
      </c>
      <c r="F4" s="6" t="s">
        <v>2</v>
      </c>
    </row>
    <row r="5" spans="1:6" x14ac:dyDescent="0.25">
      <c r="A5" s="15">
        <v>2</v>
      </c>
      <c r="B5" s="18">
        <v>30000</v>
      </c>
      <c r="C5" s="17"/>
      <c r="D5" s="4">
        <v>2</v>
      </c>
      <c r="E5" s="7">
        <v>50000</v>
      </c>
      <c r="F5" s="6"/>
    </row>
    <row r="6" spans="1:6" x14ac:dyDescent="0.25">
      <c r="A6" s="15">
        <v>3</v>
      </c>
      <c r="B6" s="18">
        <v>29000</v>
      </c>
      <c r="C6" s="17"/>
      <c r="D6" s="4">
        <v>3</v>
      </c>
      <c r="E6" s="7">
        <v>60000</v>
      </c>
      <c r="F6" s="6"/>
    </row>
    <row r="7" spans="1:6" x14ac:dyDescent="0.25">
      <c r="A7" s="15">
        <v>4</v>
      </c>
      <c r="B7" s="18">
        <v>35000</v>
      </c>
      <c r="C7" s="17"/>
      <c r="D7" s="4">
        <v>4</v>
      </c>
      <c r="E7" s="7">
        <v>65000</v>
      </c>
      <c r="F7" s="6"/>
    </row>
    <row r="8" spans="1:6" ht="15.75" thickBot="1" x14ac:dyDescent="0.3">
      <c r="A8" s="20">
        <v>5</v>
      </c>
      <c r="B8" s="21">
        <v>37000</v>
      </c>
      <c r="C8" s="22"/>
      <c r="D8" s="9">
        <v>5</v>
      </c>
      <c r="E8" s="10">
        <v>70000</v>
      </c>
      <c r="F8" s="11"/>
    </row>
    <row r="9" spans="1:6" ht="15.75" thickBot="1" x14ac:dyDescent="0.3"/>
    <row r="10" spans="1:6" x14ac:dyDescent="0.25">
      <c r="A10" s="24" t="s">
        <v>5</v>
      </c>
      <c r="B10" s="25"/>
      <c r="C10" s="26"/>
    </row>
    <row r="11" spans="1:6" x14ac:dyDescent="0.25">
      <c r="A11" s="27" t="s">
        <v>7</v>
      </c>
      <c r="B11" s="28">
        <v>0.11</v>
      </c>
      <c r="C11" s="29"/>
    </row>
    <row r="12" spans="1:6" x14ac:dyDescent="0.25">
      <c r="A12" s="27" t="s">
        <v>8</v>
      </c>
      <c r="B12" s="30">
        <v>12</v>
      </c>
      <c r="C12" s="29"/>
    </row>
    <row r="13" spans="1:6" ht="15.75" thickBot="1" x14ac:dyDescent="0.3">
      <c r="A13" s="31" t="s">
        <v>5</v>
      </c>
      <c r="B13" s="32">
        <f xml:space="preserve"> EFFECT(B11, B12)</f>
        <v>0.11571883619521484</v>
      </c>
      <c r="C13" s="33" t="s">
        <v>9</v>
      </c>
    </row>
    <row r="14" spans="1:6" ht="15.75" thickBot="1" x14ac:dyDescent="0.3"/>
    <row r="15" spans="1:6" x14ac:dyDescent="0.25">
      <c r="A15" s="12" t="s">
        <v>6</v>
      </c>
      <c r="B15" s="13"/>
      <c r="C15" s="14"/>
    </row>
    <row r="16" spans="1:6" x14ac:dyDescent="0.25">
      <c r="A16" s="15" t="s">
        <v>5</v>
      </c>
      <c r="B16" s="34">
        <v>0.15890000000000001</v>
      </c>
      <c r="C16" s="17"/>
    </row>
    <row r="17" spans="1:3" x14ac:dyDescent="0.25">
      <c r="A17" s="15" t="s">
        <v>0</v>
      </c>
      <c r="B17" s="16">
        <v>18</v>
      </c>
      <c r="C17" s="17"/>
    </row>
    <row r="18" spans="1:3" ht="15.75" thickBot="1" x14ac:dyDescent="0.3">
      <c r="A18" s="20" t="s">
        <v>6</v>
      </c>
      <c r="B18" s="23">
        <f xml:space="preserve"> NOMINAL(B16,B17)</f>
        <v>0.14807703747402634</v>
      </c>
      <c r="C18" s="2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2016-03-24T11:32:17Z</dcterms:created>
  <dcterms:modified xsi:type="dcterms:W3CDTF">2016-03-24T12:04:34Z</dcterms:modified>
</cp:coreProperties>
</file>