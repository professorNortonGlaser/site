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ofessor\Downloads\"/>
    </mc:Choice>
  </mc:AlternateContent>
  <bookViews>
    <workbookView xWindow="0" yWindow="0" windowWidth="15360" windowHeight="775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2" i="1" l="1"/>
  <c r="A31" i="1"/>
  <c r="C26" i="1"/>
  <c r="C21" i="1"/>
  <c r="C16" i="1"/>
  <c r="C11" i="1"/>
  <c r="D9" i="1"/>
  <c r="C6" i="1"/>
</calcChain>
</file>

<file path=xl/sharedStrings.xml><?xml version="1.0" encoding="utf-8"?>
<sst xmlns="http://schemas.openxmlformats.org/spreadsheetml/2006/main" count="34" uniqueCount="25">
  <si>
    <t>Depositos</t>
  </si>
  <si>
    <t>Periodo</t>
  </si>
  <si>
    <t>Taxa</t>
  </si>
  <si>
    <t>Valor Futuro</t>
  </si>
  <si>
    <t>valor atual</t>
  </si>
  <si>
    <t>VF(C4; B4; A4; D4)</t>
  </si>
  <si>
    <t>Prestação</t>
  </si>
  <si>
    <t>Valor Presente</t>
  </si>
  <si>
    <t xml:space="preserve"> VP(A9; B9; C9)</t>
  </si>
  <si>
    <t>TAXA(A14; B14; C14)</t>
  </si>
  <si>
    <t>taxa</t>
  </si>
  <si>
    <t>periodo</t>
  </si>
  <si>
    <t xml:space="preserve">valor </t>
  </si>
  <si>
    <t>Valor de Parcela</t>
  </si>
  <si>
    <t>PGTO(A19; B19; C19)</t>
  </si>
  <si>
    <t>valor</t>
  </si>
  <si>
    <t>valor futuro</t>
  </si>
  <si>
    <t>NPER(A24; B24; C24; D24)</t>
  </si>
  <si>
    <t>Valor Inicial</t>
  </si>
  <si>
    <t>residuo</t>
  </si>
  <si>
    <t>Depreciação por periodo</t>
  </si>
  <si>
    <t>SDA(A29;C29;B29;2)</t>
  </si>
  <si>
    <t>DPD( A29; C29; B29)</t>
  </si>
  <si>
    <t>Depreciação anual</t>
  </si>
  <si>
    <t>vida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</si>
</sst>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R$&quot;\ #,##0.00;[Red]\-&quot;R$&quot;\ #,##0.00"/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8" fontId="0" fillId="0" borderId="0" xfId="0" applyNumberFormat="1"/>
    <xf numFmtId="0" fontId="0" fillId="0" borderId="1" xfId="0" applyFill="1" applyBorder="1"/>
    <xf numFmtId="10" fontId="0" fillId="0" borderId="0" xfId="0" applyNumberFormat="1"/>
    <xf numFmtId="1" fontId="0" fillId="0" borderId="0" xfId="0" applyNumberForma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3"/>
  <sheetViews>
    <sheetView tabSelected="1" topLeftCell="A24" zoomScale="160" zoomScaleNormal="160" workbookViewId="0">
      <selection activeCell="B29" sqref="B29"/>
    </sheetView>
  </sheetViews>
  <sheetFormatPr defaultRowHeight="15" x14ac:dyDescent="0.25"/>
  <cols>
    <col min="1" max="1" width="11.140625" customWidth="1"/>
    <col min="2" max="2" width="11.42578125" customWidth="1"/>
    <col min="3" max="3" width="13" customWidth="1"/>
    <col min="4" max="4" width="11.140625" customWidth="1"/>
  </cols>
  <sheetData>
    <row r="3" spans="1:4" x14ac:dyDescent="0.25">
      <c r="A3" s="1" t="s">
        <v>0</v>
      </c>
      <c r="B3" s="1" t="s">
        <v>1</v>
      </c>
      <c r="C3" s="1" t="s">
        <v>2</v>
      </c>
      <c r="D3" s="4" t="s">
        <v>4</v>
      </c>
    </row>
    <row r="4" spans="1:4" x14ac:dyDescent="0.25">
      <c r="A4" s="1">
        <v>-300</v>
      </c>
      <c r="B4" s="1">
        <v>20</v>
      </c>
      <c r="C4" s="2">
        <v>5.0000000000000001E-3</v>
      </c>
      <c r="D4" s="1">
        <v>-582</v>
      </c>
    </row>
    <row r="6" spans="1:4" x14ac:dyDescent="0.25">
      <c r="A6" t="s">
        <v>3</v>
      </c>
      <c r="C6" s="3">
        <f xml:space="preserve"> FV(C4, B4, A4, D4)</f>
        <v>6936.7838571263246</v>
      </c>
      <c r="D6" t="s">
        <v>5</v>
      </c>
    </row>
    <row r="8" spans="1:4" x14ac:dyDescent="0.25">
      <c r="A8" s="1" t="s">
        <v>2</v>
      </c>
      <c r="B8" s="1" t="s">
        <v>1</v>
      </c>
      <c r="C8" s="1" t="s">
        <v>6</v>
      </c>
    </row>
    <row r="9" spans="1:4" x14ac:dyDescent="0.25">
      <c r="A9" s="2">
        <v>4.4999999999999998E-2</v>
      </c>
      <c r="B9" s="1">
        <v>10</v>
      </c>
      <c r="C9" s="1">
        <v>-120</v>
      </c>
      <c r="D9">
        <f xml:space="preserve"> C9*B9</f>
        <v>-1200</v>
      </c>
    </row>
    <row r="11" spans="1:4" x14ac:dyDescent="0.25">
      <c r="A11" t="s">
        <v>7</v>
      </c>
      <c r="C11" s="3">
        <f xml:space="preserve"> PV(A9, B9, C9)</f>
        <v>949.52618125321783</v>
      </c>
      <c r="D11" t="s">
        <v>8</v>
      </c>
    </row>
    <row r="13" spans="1:4" x14ac:dyDescent="0.25">
      <c r="A13" s="1" t="s">
        <v>1</v>
      </c>
      <c r="B13" s="1" t="s">
        <v>6</v>
      </c>
      <c r="C13" s="1" t="s">
        <v>7</v>
      </c>
    </row>
    <row r="14" spans="1:4" x14ac:dyDescent="0.25">
      <c r="A14" s="1">
        <v>15</v>
      </c>
      <c r="B14" s="1">
        <v>340</v>
      </c>
      <c r="C14" s="1">
        <v>-3000</v>
      </c>
    </row>
    <row r="16" spans="1:4" x14ac:dyDescent="0.25">
      <c r="A16" t="s">
        <v>2</v>
      </c>
      <c r="C16" s="5">
        <f xml:space="preserve"> RATE(A14, B14, C14)</f>
        <v>7.5065516664423321E-2</v>
      </c>
      <c r="D16" t="s">
        <v>9</v>
      </c>
    </row>
    <row r="18" spans="1:4" x14ac:dyDescent="0.25">
      <c r="A18" s="1" t="s">
        <v>10</v>
      </c>
      <c r="B18" s="1" t="s">
        <v>11</v>
      </c>
      <c r="C18" s="1" t="s">
        <v>12</v>
      </c>
    </row>
    <row r="19" spans="1:4" x14ac:dyDescent="0.25">
      <c r="A19" s="2">
        <v>3.5999999999999997E-2</v>
      </c>
      <c r="B19" s="1">
        <v>30</v>
      </c>
      <c r="C19" s="1">
        <v>-8000</v>
      </c>
    </row>
    <row r="21" spans="1:4" x14ac:dyDescent="0.25">
      <c r="A21" t="s">
        <v>13</v>
      </c>
      <c r="C21" s="3">
        <f xml:space="preserve"> PMT(A19, B19, C19)</f>
        <v>440.43739742450128</v>
      </c>
      <c r="D21" t="s">
        <v>14</v>
      </c>
    </row>
    <row r="23" spans="1:4" x14ac:dyDescent="0.25">
      <c r="A23" s="1" t="s">
        <v>10</v>
      </c>
      <c r="B23" s="1" t="s">
        <v>15</v>
      </c>
      <c r="C23" s="1" t="s">
        <v>4</v>
      </c>
      <c r="D23" s="1" t="s">
        <v>16</v>
      </c>
    </row>
    <row r="24" spans="1:4" x14ac:dyDescent="0.25">
      <c r="A24" s="2">
        <v>3.3000000000000002E-2</v>
      </c>
      <c r="B24" s="1">
        <v>250</v>
      </c>
      <c r="C24" s="1">
        <v>0</v>
      </c>
      <c r="D24" s="1">
        <v>-5000</v>
      </c>
    </row>
    <row r="26" spans="1:4" x14ac:dyDescent="0.25">
      <c r="A26" t="s">
        <v>1</v>
      </c>
      <c r="C26" s="6">
        <f xml:space="preserve"> NPER(A24, B24, C24, D24)</f>
        <v>15.610146742666508</v>
      </c>
      <c r="D26" t="s">
        <v>17</v>
      </c>
    </row>
    <row r="28" spans="1:4" x14ac:dyDescent="0.25">
      <c r="A28" t="s">
        <v>18</v>
      </c>
      <c r="B28" t="s">
        <v>24</v>
      </c>
      <c r="C28" t="s">
        <v>19</v>
      </c>
    </row>
    <row r="29" spans="1:4" x14ac:dyDescent="0.25">
      <c r="A29">
        <v>10000</v>
      </c>
      <c r="B29">
        <v>5</v>
      </c>
      <c r="C29">
        <v>6000</v>
      </c>
    </row>
    <row r="31" spans="1:4" x14ac:dyDescent="0.25">
      <c r="A31" s="3">
        <f xml:space="preserve"> SLN( A29, C29, B29)</f>
        <v>800</v>
      </c>
      <c r="B31" t="s">
        <v>20</v>
      </c>
      <c r="D31" t="s">
        <v>22</v>
      </c>
    </row>
    <row r="32" spans="1:4" x14ac:dyDescent="0.25">
      <c r="A32" s="3">
        <f>SYD(A29,C29,B29,2)</f>
        <v>1066.6666666666667</v>
      </c>
      <c r="B32" t="s">
        <v>23</v>
      </c>
      <c r="D32" t="s">
        <v>21</v>
      </c>
    </row>
    <row r="33" spans="1:1" x14ac:dyDescent="0.25">
      <c r="A33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Professor</dc:creator>
  <cp:lastModifiedBy>Professor</cp:lastModifiedBy>
  <dcterms:created xsi:type="dcterms:W3CDTF">2016-03-17T11:20:01Z</dcterms:created>
  <dcterms:modified xsi:type="dcterms:W3CDTF">2016-03-17T12:03:34Z</dcterms:modified>
</cp:coreProperties>
</file>