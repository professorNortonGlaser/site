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tecscs\Documents\"/>
    </mc:Choice>
  </mc:AlternateContent>
  <bookViews>
    <workbookView xWindow="-120" yWindow="-120" windowWidth="24240" windowHeight="13140" activeTab="3"/>
  </bookViews>
  <sheets>
    <sheet name="Plan1" sheetId="1" r:id="rId1"/>
    <sheet name="Plan2" sheetId="3" r:id="rId2"/>
    <sheet name="Plan3" sheetId="4" r:id="rId3"/>
    <sheet name="Plan4" sheetId="5" r:id="rId4"/>
  </sheets>
  <definedNames>
    <definedName name="_xlnm._FilterDatabase" localSheetId="0" hidden="1">Plan1!$A$1:$A$51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4" l="1"/>
  <c r="I3" i="4" s="1"/>
  <c r="D8" i="4"/>
  <c r="D6" i="4"/>
  <c r="D5" i="4"/>
  <c r="D4" i="4"/>
  <c r="D3" i="4"/>
  <c r="H4" i="3"/>
  <c r="H9" i="3"/>
  <c r="H8" i="3"/>
  <c r="H7" i="3"/>
  <c r="H6" i="3"/>
  <c r="H5" i="3"/>
  <c r="E4" i="1"/>
  <c r="F8" i="1"/>
  <c r="F7" i="1"/>
  <c r="F6" i="1"/>
  <c r="F5" i="1"/>
  <c r="F4" i="1"/>
  <c r="E5" i="1"/>
  <c r="E6" i="1"/>
  <c r="E7" i="1"/>
  <c r="E8" i="1"/>
  <c r="G8" i="1" s="1"/>
  <c r="G7" i="1" l="1"/>
  <c r="G6" i="1" s="1"/>
  <c r="G5" i="1" s="1"/>
  <c r="D7" i="4"/>
  <c r="G4" i="4"/>
  <c r="F3" i="4"/>
  <c r="H10" i="3"/>
  <c r="G4" i="1"/>
  <c r="E9" i="1"/>
  <c r="H4" i="4" l="1"/>
  <c r="F4" i="4" s="1"/>
  <c r="H8" i="1"/>
  <c r="J8" i="1" s="1"/>
  <c r="H7" i="1"/>
  <c r="H6" i="1"/>
  <c r="H5" i="1"/>
  <c r="H4" i="1"/>
  <c r="G5" i="4" l="1"/>
  <c r="I4" i="4"/>
  <c r="H9" i="1"/>
  <c r="I4" i="1"/>
  <c r="I5" i="1" s="1"/>
  <c r="I6" i="1" s="1"/>
  <c r="I7" i="1" s="1"/>
  <c r="I8" i="1" s="1"/>
  <c r="J7" i="1"/>
  <c r="J6" i="1" s="1"/>
  <c r="J5" i="1" s="1"/>
  <c r="J4" i="1" s="1"/>
  <c r="H5" i="4" l="1"/>
  <c r="F5" i="4" s="1"/>
  <c r="G6" i="4" l="1"/>
  <c r="I5" i="4"/>
  <c r="H6" i="4" l="1"/>
  <c r="F6" i="4" s="1"/>
  <c r="I6" i="4" l="1"/>
  <c r="G7" i="4"/>
  <c r="H7" i="4" l="1"/>
  <c r="F7" i="4" s="1"/>
  <c r="I7" i="4" l="1"/>
  <c r="G8" i="4"/>
  <c r="H8" i="4" l="1"/>
  <c r="I8" i="4" s="1"/>
  <c r="K5" i="4" s="1"/>
  <c r="F8" i="4" l="1"/>
  <c r="K6" i="4"/>
  <c r="J6" i="4" s="1"/>
  <c r="M6" i="4" s="1"/>
  <c r="K7" i="4"/>
  <c r="J7" i="4" s="1"/>
  <c r="M7" i="4" s="1"/>
  <c r="K8" i="4"/>
  <c r="J8" i="4" s="1"/>
  <c r="K3" i="4"/>
  <c r="J3" i="4" s="1"/>
  <c r="K4" i="4"/>
  <c r="M3" i="4" l="1"/>
  <c r="M8" i="4"/>
  <c r="O8" i="4" s="1"/>
  <c r="O7" i="4" s="1"/>
  <c r="O6" i="4" s="1"/>
  <c r="O5" i="4" s="1"/>
  <c r="L8" i="4"/>
  <c r="L7" i="4" s="1"/>
  <c r="L6" i="4" s="1"/>
  <c r="L5" i="4" s="1"/>
  <c r="J4" i="4"/>
  <c r="M4" i="4" s="1"/>
  <c r="J5" i="4"/>
  <c r="M5" i="4" s="1"/>
  <c r="O4" i="4" l="1"/>
  <c r="O3" i="4" s="1"/>
  <c r="N3" i="4"/>
  <c r="N4" i="4" s="1"/>
  <c r="N5" i="4" s="1"/>
  <c r="N6" i="4" s="1"/>
  <c r="N7" i="4" s="1"/>
  <c r="N8" i="4" s="1"/>
  <c r="M9" i="4"/>
  <c r="L4" i="4"/>
  <c r="L3" i="4" s="1"/>
  <c r="J9" i="4"/>
</calcChain>
</file>

<file path=xl/sharedStrings.xml><?xml version="1.0" encoding="utf-8"?>
<sst xmlns="http://schemas.openxmlformats.org/spreadsheetml/2006/main" count="112" uniqueCount="38">
  <si>
    <t>xi</t>
  </si>
  <si>
    <t>fi</t>
  </si>
  <si>
    <t>fiac</t>
  </si>
  <si>
    <t>fiad</t>
  </si>
  <si>
    <t>fri(%)</t>
  </si>
  <si>
    <t>friac(%)</t>
  </si>
  <si>
    <t>friad(%)</t>
  </si>
  <si>
    <t>Dados</t>
  </si>
  <si>
    <t>Total</t>
  </si>
  <si>
    <t>Tabela para dados qualitativos</t>
  </si>
  <si>
    <t>Antarctica</t>
  </si>
  <si>
    <t>Coca-Cola</t>
  </si>
  <si>
    <t>Dolly</t>
  </si>
  <si>
    <t>Pepsi-Cola</t>
  </si>
  <si>
    <t>Schincariol</t>
  </si>
  <si>
    <t>Kuat</t>
  </si>
  <si>
    <t>Marca</t>
  </si>
  <si>
    <t>Frequência</t>
  </si>
  <si>
    <t>Li</t>
  </si>
  <si>
    <t>Ls</t>
  </si>
  <si>
    <t>Lex</t>
  </si>
  <si>
    <t>Fi</t>
  </si>
  <si>
    <t>Fiac</t>
  </si>
  <si>
    <t>Fiad</t>
  </si>
  <si>
    <t>Fri (%)</t>
  </si>
  <si>
    <t>Friac (%)</t>
  </si>
  <si>
    <t>Friad (%)</t>
  </si>
  <si>
    <t>N° de classes</t>
  </si>
  <si>
    <t>Máximo</t>
  </si>
  <si>
    <t>Mínimo</t>
  </si>
  <si>
    <t>Range ou amplitude total</t>
  </si>
  <si>
    <t>Ampl. Intervalo de classes</t>
  </si>
  <si>
    <t>Tamanho da amostra</t>
  </si>
  <si>
    <t>fri (%)</t>
  </si>
  <si>
    <t>máximo</t>
  </si>
  <si>
    <t>mínimo</t>
  </si>
  <si>
    <t>Nº de classes</t>
  </si>
  <si>
    <t>ampl.  Intervalo Classe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</si>
</sst>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b/>
      <sz val="12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/>
              <a:t>Idade dos calouros </a:t>
            </a:r>
            <a:r>
              <a:rPr lang="pt-BR" sz="1600" b="1" baseline="0"/>
              <a:t> da Fatec  - 1º semestre de 2020</a:t>
            </a:r>
            <a:endParaRPr lang="pt-BR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Plan1!$D$4:$D$8</c:f>
              <c:strCache>
                <c:ptCount val="5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Plan1!$D$4:$D$8</c:f>
              <c:numCache>
                <c:formatCode>General</c:formatCode>
                <c:ptCount val="5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</c:numCache>
            </c:numRef>
          </c:cat>
          <c:val>
            <c:numRef>
              <c:f>Plan1!$E$4:$E$8</c:f>
              <c:numCache>
                <c:formatCode>General</c:formatCode>
                <c:ptCount val="5"/>
                <c:pt idx="0">
                  <c:v>3</c:v>
                </c:pt>
                <c:pt idx="1">
                  <c:v>18</c:v>
                </c:pt>
                <c:pt idx="2">
                  <c:v>17</c:v>
                </c:pt>
                <c:pt idx="3">
                  <c:v>8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48-40C7-9568-3890142528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54682320"/>
        <c:axId val="354682880"/>
      </c:barChart>
      <c:catAx>
        <c:axId val="354682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200" b="1"/>
                  <a:t>Idade em anos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4682880"/>
        <c:crosses val="autoZero"/>
        <c:auto val="1"/>
        <c:lblAlgn val="ctr"/>
        <c:lblOffset val="100"/>
        <c:noMultiLvlLbl val="0"/>
      </c:catAx>
      <c:valAx>
        <c:axId val="35468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200" b="1"/>
                  <a:t>Quantidade de alunos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4682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1" i="0" baseline="0">
                <a:effectLst/>
              </a:rPr>
              <a:t>Idade dos calouros da Fatec - 1º Semestre 2020 </a:t>
            </a:r>
            <a:endParaRPr lang="pt-BR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2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DAE8-4C98-837A-213D18BFB3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DAE8-4C98-837A-213D18BFB3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DAE8-4C98-837A-213D18BFB3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DAE8-4C98-837A-213D18BFB3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DAE8-4C98-837A-213D18BFB38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Plan1!$D$4:$D$8</c:f>
              <c:numCache>
                <c:formatCode>General</c:formatCode>
                <c:ptCount val="5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</c:numCache>
            </c:numRef>
          </c:cat>
          <c:val>
            <c:numRef>
              <c:f>Plan1!$H$4:$H$8</c:f>
              <c:numCache>
                <c:formatCode>General</c:formatCode>
                <c:ptCount val="5"/>
                <c:pt idx="0">
                  <c:v>6</c:v>
                </c:pt>
                <c:pt idx="1">
                  <c:v>36</c:v>
                </c:pt>
                <c:pt idx="2">
                  <c:v>34</c:v>
                </c:pt>
                <c:pt idx="3">
                  <c:v>16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AE8-4C98-837A-213D18BFB38E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Frequência das Marcas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Plan2!$G$4:$G$9</c:f>
              <c:strCache>
                <c:ptCount val="6"/>
                <c:pt idx="0">
                  <c:v>Antarctica</c:v>
                </c:pt>
                <c:pt idx="1">
                  <c:v>Coca-Cola</c:v>
                </c:pt>
                <c:pt idx="2">
                  <c:v>Dolly</c:v>
                </c:pt>
                <c:pt idx="3">
                  <c:v>Kuat</c:v>
                </c:pt>
                <c:pt idx="4">
                  <c:v>Pepsi-Cola</c:v>
                </c:pt>
                <c:pt idx="5">
                  <c:v>Schincariol</c:v>
                </c:pt>
              </c:strCache>
            </c:strRef>
          </c:cat>
          <c:val>
            <c:numRef>
              <c:f>Plan2!$H$4:$H$9</c:f>
              <c:numCache>
                <c:formatCode>General</c:formatCode>
                <c:ptCount val="6"/>
                <c:pt idx="0">
                  <c:v>22</c:v>
                </c:pt>
                <c:pt idx="1">
                  <c:v>15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5C-4849-9AE6-22CAAEEFD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54686800"/>
        <c:axId val="354687360"/>
        <c:axId val="0"/>
      </c:bar3DChart>
      <c:catAx>
        <c:axId val="354686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Marcas</a:t>
                </a:r>
                <a:r>
                  <a:rPr lang="pt-BR" baseline="0"/>
                  <a:t> de Bebidas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4687360"/>
        <c:crosses val="autoZero"/>
        <c:auto val="1"/>
        <c:lblAlgn val="ctr"/>
        <c:lblOffset val="100"/>
        <c:noMultiLvlLbl val="0"/>
      </c:catAx>
      <c:valAx>
        <c:axId val="35468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Nº de Consumidores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4686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Revendedores autorizados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Plan3!$F$3:$F$8</c:f>
              <c:numCache>
                <c:formatCode>General</c:formatCode>
                <c:ptCount val="6"/>
                <c:pt idx="0">
                  <c:v>9</c:v>
                </c:pt>
                <c:pt idx="1">
                  <c:v>15</c:v>
                </c:pt>
                <c:pt idx="2">
                  <c:v>21</c:v>
                </c:pt>
                <c:pt idx="3">
                  <c:v>27</c:v>
                </c:pt>
                <c:pt idx="4">
                  <c:v>33</c:v>
                </c:pt>
                <c:pt idx="5">
                  <c:v>39</c:v>
                </c:pt>
              </c:numCache>
            </c:numRef>
          </c:cat>
          <c:val>
            <c:numRef>
              <c:f>Plan3!$J$3:$J$8</c:f>
              <c:numCache>
                <c:formatCode>General</c:formatCode>
                <c:ptCount val="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7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92-48F3-A4D0-A30733ED3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354340624"/>
        <c:axId val="35434118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Plan3!$F$3:$F$8</c:f>
              <c:numCache>
                <c:formatCode>General</c:formatCode>
                <c:ptCount val="6"/>
                <c:pt idx="0">
                  <c:v>9</c:v>
                </c:pt>
                <c:pt idx="1">
                  <c:v>15</c:v>
                </c:pt>
                <c:pt idx="2">
                  <c:v>21</c:v>
                </c:pt>
                <c:pt idx="3">
                  <c:v>27</c:v>
                </c:pt>
                <c:pt idx="4">
                  <c:v>33</c:v>
                </c:pt>
                <c:pt idx="5">
                  <c:v>39</c:v>
                </c:pt>
              </c:numCache>
            </c:numRef>
          </c:cat>
          <c:val>
            <c:numRef>
              <c:f>Plan3!$J$3:$J$8</c:f>
              <c:numCache>
                <c:formatCode>General</c:formatCode>
                <c:ptCount val="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7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92-48F3-A4D0-A30733ED3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4340624"/>
        <c:axId val="354341184"/>
      </c:lineChart>
      <c:catAx>
        <c:axId val="354340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Unidades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4341184"/>
        <c:crosses val="autoZero"/>
        <c:auto val="1"/>
        <c:lblAlgn val="ctr"/>
        <c:lblOffset val="100"/>
        <c:noMultiLvlLbl val="0"/>
      </c:catAx>
      <c:valAx>
        <c:axId val="35434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Unidades adquiridas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434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Plan4!$I$10:$I$17</c:f>
              <c:numCache>
                <c:formatCode>General</c:formatCode>
                <c:ptCount val="8"/>
                <c:pt idx="0">
                  <c:v>155.9</c:v>
                </c:pt>
                <c:pt idx="1">
                  <c:v>160.9</c:v>
                </c:pt>
                <c:pt idx="2">
                  <c:v>165.9</c:v>
                </c:pt>
                <c:pt idx="3">
                  <c:v>170.9</c:v>
                </c:pt>
                <c:pt idx="4">
                  <c:v>175.9</c:v>
                </c:pt>
                <c:pt idx="5">
                  <c:v>180.9</c:v>
                </c:pt>
                <c:pt idx="6">
                  <c:v>185.9</c:v>
                </c:pt>
                <c:pt idx="7">
                  <c:v>190.9</c:v>
                </c:pt>
              </c:numCache>
            </c:numRef>
          </c:cat>
          <c:val>
            <c:numRef>
              <c:f>Plan4!$J$10:$J$17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11</c:v>
                </c:pt>
                <c:pt idx="3">
                  <c:v>33</c:v>
                </c:pt>
                <c:pt idx="4">
                  <c:v>17</c:v>
                </c:pt>
                <c:pt idx="5">
                  <c:v>17</c:v>
                </c:pt>
                <c:pt idx="6">
                  <c:v>9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6-4811-900B-328A2D3A9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13091168"/>
        <c:axId val="31448910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Plan4!$I$10:$I$17</c:f>
              <c:numCache>
                <c:formatCode>General</c:formatCode>
                <c:ptCount val="8"/>
                <c:pt idx="0">
                  <c:v>155.9</c:v>
                </c:pt>
                <c:pt idx="1">
                  <c:v>160.9</c:v>
                </c:pt>
                <c:pt idx="2">
                  <c:v>165.9</c:v>
                </c:pt>
                <c:pt idx="3">
                  <c:v>170.9</c:v>
                </c:pt>
                <c:pt idx="4">
                  <c:v>175.9</c:v>
                </c:pt>
                <c:pt idx="5">
                  <c:v>180.9</c:v>
                </c:pt>
                <c:pt idx="6">
                  <c:v>185.9</c:v>
                </c:pt>
                <c:pt idx="7">
                  <c:v>190.9</c:v>
                </c:pt>
              </c:numCache>
            </c:numRef>
          </c:cat>
          <c:val>
            <c:numRef>
              <c:f>Plan4!$J$10:$J$17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11</c:v>
                </c:pt>
                <c:pt idx="3">
                  <c:v>33</c:v>
                </c:pt>
                <c:pt idx="4">
                  <c:v>17</c:v>
                </c:pt>
                <c:pt idx="5">
                  <c:v>17</c:v>
                </c:pt>
                <c:pt idx="6">
                  <c:v>9</c:v>
                </c:pt>
                <c:pt idx="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66-4811-900B-328A2D3A9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091168"/>
        <c:axId val="314489104"/>
      </c:lineChart>
      <c:catAx>
        <c:axId val="313091168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4489104"/>
        <c:crosses val="autoZero"/>
        <c:auto val="1"/>
        <c:lblAlgn val="ctr"/>
        <c:lblOffset val="100"/>
        <c:noMultiLvlLbl val="0"/>
      </c:catAx>
      <c:valAx>
        <c:axId val="31448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3091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10</xdr:row>
      <xdr:rowOff>33336</xdr:rowOff>
    </xdr:from>
    <xdr:to>
      <xdr:col>9</xdr:col>
      <xdr:colOff>847725</xdr:colOff>
      <xdr:row>24</xdr:row>
      <xdr:rowOff>114299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104774</xdr:colOff>
      <xdr:row>25</xdr:row>
      <xdr:rowOff>71437</xdr:rowOff>
    </xdr:from>
    <xdr:to>
      <xdr:col>9</xdr:col>
      <xdr:colOff>819150</xdr:colOff>
      <xdr:row>39</xdr:row>
      <xdr:rowOff>147637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11</xdr:row>
      <xdr:rowOff>33337</xdr:rowOff>
    </xdr:from>
    <xdr:to>
      <xdr:col>12</xdr:col>
      <xdr:colOff>381000</xdr:colOff>
      <xdr:row>25</xdr:row>
      <xdr:rowOff>109537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12</xdr:row>
      <xdr:rowOff>176212</xdr:rowOff>
    </xdr:from>
    <xdr:to>
      <xdr:col>12</xdr:col>
      <xdr:colOff>523875</xdr:colOff>
      <xdr:row>27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466725</xdr:colOff>
      <xdr:row>4</xdr:row>
      <xdr:rowOff>52387</xdr:rowOff>
    </xdr:from>
    <xdr:to>
      <xdr:col>23</xdr:col>
      <xdr:colOff>161925</xdr:colOff>
      <xdr:row>18</xdr:row>
      <xdr:rowOff>128587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38C0341-9D87-43FD-AF37-C229ECF19E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workbookViewId="0">
      <selection activeCell="N25" sqref="N25"/>
    </sheetView>
  </sheetViews>
  <sheetFormatPr defaultRowHeight="15" x14ac:dyDescent="0.25"/>
  <cols>
    <col min="4" max="10" width="13.42578125" customWidth="1"/>
  </cols>
  <sheetData>
    <row r="1" spans="1:10" x14ac:dyDescent="0.25">
      <c r="A1" s="2" t="s">
        <v>0</v>
      </c>
    </row>
    <row r="2" spans="1:10" x14ac:dyDescent="0.25">
      <c r="A2" s="1">
        <v>17</v>
      </c>
    </row>
    <row r="3" spans="1:10" x14ac:dyDescent="0.25">
      <c r="A3" s="1">
        <v>17</v>
      </c>
      <c r="D3" s="8" t="s">
        <v>0</v>
      </c>
      <c r="E3" s="8" t="s">
        <v>1</v>
      </c>
      <c r="F3" s="8" t="s">
        <v>2</v>
      </c>
      <c r="G3" s="8" t="s">
        <v>3</v>
      </c>
      <c r="H3" s="8" t="s">
        <v>4</v>
      </c>
      <c r="I3" s="8" t="s">
        <v>5</v>
      </c>
      <c r="J3" s="8" t="s">
        <v>6</v>
      </c>
    </row>
    <row r="4" spans="1:10" x14ac:dyDescent="0.25">
      <c r="A4" s="1">
        <v>17</v>
      </c>
      <c r="D4" s="5">
        <v>17</v>
      </c>
      <c r="E4" s="5">
        <f>COUNTIF($A$2:$A$51,D4)</f>
        <v>3</v>
      </c>
      <c r="F4" s="5">
        <f>FREQUENCY($A$2:$A$51,D4)</f>
        <v>3</v>
      </c>
      <c r="G4" s="5">
        <f>G5+E4</f>
        <v>50</v>
      </c>
      <c r="H4" s="5">
        <f>(E4*100)/$E$9</f>
        <v>6</v>
      </c>
      <c r="I4" s="5">
        <f>H4</f>
        <v>6</v>
      </c>
      <c r="J4" s="5">
        <f>J5+H4</f>
        <v>100</v>
      </c>
    </row>
    <row r="5" spans="1:10" x14ac:dyDescent="0.25">
      <c r="A5" s="1">
        <v>18</v>
      </c>
      <c r="D5" s="5">
        <v>18</v>
      </c>
      <c r="E5" s="5">
        <f>COUNTIF($A$2:$A$51,D5)</f>
        <v>18</v>
      </c>
      <c r="F5" s="5">
        <f>FREQUENCY($A$2:$A$51,D5)</f>
        <v>21</v>
      </c>
      <c r="G5" s="5">
        <f>G6+E5</f>
        <v>47</v>
      </c>
      <c r="H5" s="5">
        <f>(E5*100)/$E$9</f>
        <v>36</v>
      </c>
      <c r="I5" s="5">
        <f>I4+H5</f>
        <v>42</v>
      </c>
      <c r="J5" s="5">
        <f>J6+H5</f>
        <v>94</v>
      </c>
    </row>
    <row r="6" spans="1:10" x14ac:dyDescent="0.25">
      <c r="A6" s="1">
        <v>18</v>
      </c>
      <c r="D6" s="5">
        <v>19</v>
      </c>
      <c r="E6" s="5">
        <f>COUNTIF($A$2:$A$51,D6)</f>
        <v>17</v>
      </c>
      <c r="F6" s="5">
        <f>FREQUENCY($A$2:$A$51,D6)</f>
        <v>38</v>
      </c>
      <c r="G6" s="5">
        <f>G7+E6</f>
        <v>29</v>
      </c>
      <c r="H6" s="5">
        <f>(E6*100)/$E$9</f>
        <v>34</v>
      </c>
      <c r="I6" s="5">
        <f>I5+H6</f>
        <v>76</v>
      </c>
      <c r="J6" s="5">
        <f>J7+H6</f>
        <v>58</v>
      </c>
    </row>
    <row r="7" spans="1:10" x14ac:dyDescent="0.25">
      <c r="A7" s="1">
        <v>18</v>
      </c>
      <c r="D7" s="5">
        <v>20</v>
      </c>
      <c r="E7" s="5">
        <f>COUNTIF($A$2:$A$51,D7)</f>
        <v>8</v>
      </c>
      <c r="F7" s="5">
        <f>FREQUENCY($A$2:$A$51,D7)</f>
        <v>46</v>
      </c>
      <c r="G7" s="5">
        <f>G8+E7</f>
        <v>12</v>
      </c>
      <c r="H7" s="5">
        <f>(E7*100)/$E$9</f>
        <v>16</v>
      </c>
      <c r="I7" s="5">
        <f>I6+H7</f>
        <v>92</v>
      </c>
      <c r="J7" s="5">
        <f>J8+H7</f>
        <v>24</v>
      </c>
    </row>
    <row r="8" spans="1:10" x14ac:dyDescent="0.25">
      <c r="A8" s="1">
        <v>18</v>
      </c>
      <c r="D8" s="5">
        <v>21</v>
      </c>
      <c r="E8" s="5">
        <f>COUNTIF($A$2:$A$51,D8)</f>
        <v>4</v>
      </c>
      <c r="F8" s="5">
        <f>FREQUENCY($A$2:$A$51,D8)</f>
        <v>50</v>
      </c>
      <c r="G8" s="5">
        <f>E8</f>
        <v>4</v>
      </c>
      <c r="H8" s="5">
        <f>(E8*100)/$E$9</f>
        <v>8</v>
      </c>
      <c r="I8" s="5">
        <f>I7+H8</f>
        <v>100</v>
      </c>
      <c r="J8" s="5">
        <f>H8</f>
        <v>8</v>
      </c>
    </row>
    <row r="9" spans="1:10" x14ac:dyDescent="0.25">
      <c r="A9" s="1">
        <v>18</v>
      </c>
      <c r="D9" s="6" t="s">
        <v>8</v>
      </c>
      <c r="E9" s="7">
        <f>SUM(E4:E8)</f>
        <v>50</v>
      </c>
      <c r="F9" s="7"/>
      <c r="G9" s="7"/>
      <c r="H9" s="7">
        <f>SUM(H4:H8)</f>
        <v>100</v>
      </c>
      <c r="I9" s="7"/>
      <c r="J9" s="7"/>
    </row>
    <row r="10" spans="1:10" x14ac:dyDescent="0.25">
      <c r="A10" s="1">
        <v>18</v>
      </c>
    </row>
    <row r="11" spans="1:10" x14ac:dyDescent="0.25">
      <c r="A11" s="1">
        <v>18</v>
      </c>
    </row>
    <row r="12" spans="1:10" x14ac:dyDescent="0.25">
      <c r="A12" s="1">
        <v>18</v>
      </c>
    </row>
    <row r="13" spans="1:10" x14ac:dyDescent="0.25">
      <c r="A13" s="1">
        <v>18</v>
      </c>
    </row>
    <row r="14" spans="1:10" x14ac:dyDescent="0.25">
      <c r="A14" s="1">
        <v>18</v>
      </c>
    </row>
    <row r="15" spans="1:10" x14ac:dyDescent="0.25">
      <c r="A15" s="1">
        <v>18</v>
      </c>
    </row>
    <row r="16" spans="1:10" x14ac:dyDescent="0.25">
      <c r="A16" s="1">
        <v>18</v>
      </c>
    </row>
    <row r="17" spans="1:1" x14ac:dyDescent="0.25">
      <c r="A17" s="1">
        <v>18</v>
      </c>
    </row>
    <row r="18" spans="1:1" x14ac:dyDescent="0.25">
      <c r="A18" s="1">
        <v>18</v>
      </c>
    </row>
    <row r="19" spans="1:1" x14ac:dyDescent="0.25">
      <c r="A19" s="1">
        <v>18</v>
      </c>
    </row>
    <row r="20" spans="1:1" x14ac:dyDescent="0.25">
      <c r="A20" s="1">
        <v>18</v>
      </c>
    </row>
    <row r="21" spans="1:1" x14ac:dyDescent="0.25">
      <c r="A21" s="1">
        <v>18</v>
      </c>
    </row>
    <row r="22" spans="1:1" x14ac:dyDescent="0.25">
      <c r="A22" s="1">
        <v>18</v>
      </c>
    </row>
    <row r="23" spans="1:1" x14ac:dyDescent="0.25">
      <c r="A23" s="1">
        <v>19</v>
      </c>
    </row>
    <row r="24" spans="1:1" x14ac:dyDescent="0.25">
      <c r="A24" s="1">
        <v>19</v>
      </c>
    </row>
    <row r="25" spans="1:1" x14ac:dyDescent="0.25">
      <c r="A25" s="1">
        <v>19</v>
      </c>
    </row>
    <row r="26" spans="1:1" x14ac:dyDescent="0.25">
      <c r="A26" s="1">
        <v>19</v>
      </c>
    </row>
    <row r="27" spans="1:1" x14ac:dyDescent="0.25">
      <c r="A27" s="1">
        <v>19</v>
      </c>
    </row>
    <row r="28" spans="1:1" x14ac:dyDescent="0.25">
      <c r="A28" s="1">
        <v>19</v>
      </c>
    </row>
    <row r="29" spans="1:1" x14ac:dyDescent="0.25">
      <c r="A29" s="1">
        <v>19</v>
      </c>
    </row>
    <row r="30" spans="1:1" x14ac:dyDescent="0.25">
      <c r="A30" s="1">
        <v>19</v>
      </c>
    </row>
    <row r="31" spans="1:1" x14ac:dyDescent="0.25">
      <c r="A31" s="1">
        <v>19</v>
      </c>
    </row>
    <row r="32" spans="1:1" x14ac:dyDescent="0.25">
      <c r="A32" s="1">
        <v>19</v>
      </c>
    </row>
    <row r="33" spans="1:1" x14ac:dyDescent="0.25">
      <c r="A33" s="1">
        <v>19</v>
      </c>
    </row>
    <row r="34" spans="1:1" x14ac:dyDescent="0.25">
      <c r="A34" s="1">
        <v>19</v>
      </c>
    </row>
    <row r="35" spans="1:1" x14ac:dyDescent="0.25">
      <c r="A35" s="1">
        <v>19</v>
      </c>
    </row>
    <row r="36" spans="1:1" x14ac:dyDescent="0.25">
      <c r="A36" s="1">
        <v>19</v>
      </c>
    </row>
    <row r="37" spans="1:1" x14ac:dyDescent="0.25">
      <c r="A37" s="1">
        <v>19</v>
      </c>
    </row>
    <row r="38" spans="1:1" x14ac:dyDescent="0.25">
      <c r="A38" s="1">
        <v>19</v>
      </c>
    </row>
    <row r="39" spans="1:1" x14ac:dyDescent="0.25">
      <c r="A39" s="1">
        <v>19</v>
      </c>
    </row>
    <row r="40" spans="1:1" x14ac:dyDescent="0.25">
      <c r="A40" s="1">
        <v>20</v>
      </c>
    </row>
    <row r="41" spans="1:1" x14ac:dyDescent="0.25">
      <c r="A41" s="1">
        <v>20</v>
      </c>
    </row>
    <row r="42" spans="1:1" x14ac:dyDescent="0.25">
      <c r="A42" s="1">
        <v>20</v>
      </c>
    </row>
    <row r="43" spans="1:1" x14ac:dyDescent="0.25">
      <c r="A43" s="1">
        <v>20</v>
      </c>
    </row>
    <row r="44" spans="1:1" x14ac:dyDescent="0.25">
      <c r="A44" s="1">
        <v>20</v>
      </c>
    </row>
    <row r="45" spans="1:1" x14ac:dyDescent="0.25">
      <c r="A45" s="1">
        <v>20</v>
      </c>
    </row>
    <row r="46" spans="1:1" x14ac:dyDescent="0.25">
      <c r="A46" s="1">
        <v>20</v>
      </c>
    </row>
    <row r="47" spans="1:1" x14ac:dyDescent="0.25">
      <c r="A47" s="1">
        <v>20</v>
      </c>
    </row>
    <row r="48" spans="1:1" x14ac:dyDescent="0.25">
      <c r="A48" s="1">
        <v>21</v>
      </c>
    </row>
    <row r="49" spans="1:1" x14ac:dyDescent="0.25">
      <c r="A49" s="1">
        <v>21</v>
      </c>
    </row>
    <row r="50" spans="1:1" x14ac:dyDescent="0.25">
      <c r="A50" s="1">
        <v>21</v>
      </c>
    </row>
    <row r="51" spans="1:1" x14ac:dyDescent="0.25">
      <c r="A51" s="1">
        <v>21</v>
      </c>
    </row>
  </sheetData>
  <autoFilter ref="A1:A51"/>
  <sortState ref="A2:A51">
    <sortCondition ref="A2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S14" sqref="S14"/>
    </sheetView>
  </sheetViews>
  <sheetFormatPr defaultRowHeight="15" x14ac:dyDescent="0.25"/>
  <cols>
    <col min="1" max="5" width="12.42578125" bestFit="1" customWidth="1"/>
    <col min="7" max="7" width="12.42578125" bestFit="1" customWidth="1"/>
    <col min="8" max="8" width="14.140625" bestFit="1" customWidth="1"/>
  </cols>
  <sheetData>
    <row r="1" spans="1:8" x14ac:dyDescent="0.25">
      <c r="A1" s="15" t="s">
        <v>9</v>
      </c>
      <c r="B1" s="15"/>
      <c r="C1" s="15"/>
      <c r="D1" s="15"/>
      <c r="E1" s="15"/>
    </row>
    <row r="2" spans="1:8" x14ac:dyDescent="0.25">
      <c r="A2" s="5" t="s">
        <v>10</v>
      </c>
      <c r="B2" s="5" t="s">
        <v>11</v>
      </c>
      <c r="C2" s="5" t="s">
        <v>13</v>
      </c>
      <c r="D2" s="5" t="s">
        <v>13</v>
      </c>
      <c r="E2" s="5" t="s">
        <v>11</v>
      </c>
    </row>
    <row r="3" spans="1:8" x14ac:dyDescent="0.25">
      <c r="A3" s="5" t="s">
        <v>11</v>
      </c>
      <c r="B3" s="5" t="s">
        <v>10</v>
      </c>
      <c r="C3" s="5" t="s">
        <v>11</v>
      </c>
      <c r="D3" s="5" t="s">
        <v>15</v>
      </c>
      <c r="E3" s="5" t="s">
        <v>11</v>
      </c>
      <c r="G3" s="6" t="s">
        <v>16</v>
      </c>
      <c r="H3" s="6" t="s">
        <v>17</v>
      </c>
    </row>
    <row r="4" spans="1:8" x14ac:dyDescent="0.25">
      <c r="A4" s="5" t="s">
        <v>11</v>
      </c>
      <c r="B4" s="5" t="s">
        <v>10</v>
      </c>
      <c r="C4" s="5" t="s">
        <v>11</v>
      </c>
      <c r="D4" s="5" t="s">
        <v>15</v>
      </c>
      <c r="E4" s="5" t="s">
        <v>11</v>
      </c>
      <c r="G4" s="5" t="s">
        <v>10</v>
      </c>
      <c r="H4" s="5">
        <f t="shared" ref="H4:H9" si="0">COUNTIF($A$2:$E$13,G4)</f>
        <v>22</v>
      </c>
    </row>
    <row r="5" spans="1:8" x14ac:dyDescent="0.25">
      <c r="A5" s="5" t="s">
        <v>12</v>
      </c>
      <c r="B5" s="5" t="s">
        <v>13</v>
      </c>
      <c r="C5" s="5" t="s">
        <v>10</v>
      </c>
      <c r="D5" s="5" t="s">
        <v>10</v>
      </c>
      <c r="E5" s="5" t="s">
        <v>11</v>
      </c>
      <c r="G5" s="5" t="s">
        <v>11</v>
      </c>
      <c r="H5" s="5">
        <f t="shared" si="0"/>
        <v>15</v>
      </c>
    </row>
    <row r="6" spans="1:8" x14ac:dyDescent="0.25">
      <c r="A6" s="5" t="s">
        <v>10</v>
      </c>
      <c r="B6" s="5" t="s">
        <v>11</v>
      </c>
      <c r="C6" s="5" t="s">
        <v>11</v>
      </c>
      <c r="D6" s="5" t="s">
        <v>10</v>
      </c>
      <c r="E6" s="5" t="s">
        <v>13</v>
      </c>
      <c r="G6" s="5" t="s">
        <v>12</v>
      </c>
      <c r="H6" s="5">
        <f t="shared" si="0"/>
        <v>4</v>
      </c>
    </row>
    <row r="7" spans="1:8" x14ac:dyDescent="0.25">
      <c r="A7" s="5" t="s">
        <v>12</v>
      </c>
      <c r="B7" s="5" t="s">
        <v>10</v>
      </c>
      <c r="C7" s="5" t="s">
        <v>11</v>
      </c>
      <c r="D7" s="5" t="s">
        <v>10</v>
      </c>
      <c r="E7" s="5" t="s">
        <v>13</v>
      </c>
      <c r="G7" s="5" t="s">
        <v>15</v>
      </c>
      <c r="H7" s="5">
        <f t="shared" si="0"/>
        <v>6</v>
      </c>
    </row>
    <row r="8" spans="1:8" x14ac:dyDescent="0.25">
      <c r="A8" s="5" t="s">
        <v>11</v>
      </c>
      <c r="B8" s="5" t="s">
        <v>11</v>
      </c>
      <c r="C8" s="5" t="s">
        <v>10</v>
      </c>
      <c r="D8" s="5" t="s">
        <v>13</v>
      </c>
      <c r="E8" s="5" t="s">
        <v>12</v>
      </c>
      <c r="G8" s="5" t="s">
        <v>13</v>
      </c>
      <c r="H8" s="5">
        <f t="shared" si="0"/>
        <v>9</v>
      </c>
    </row>
    <row r="9" spans="1:8" x14ac:dyDescent="0.25">
      <c r="A9" s="5" t="s">
        <v>11</v>
      </c>
      <c r="B9" s="5" t="s">
        <v>10</v>
      </c>
      <c r="C9" s="5" t="s">
        <v>10</v>
      </c>
      <c r="D9" s="5" t="s">
        <v>10</v>
      </c>
      <c r="E9" s="5" t="s">
        <v>10</v>
      </c>
      <c r="G9" s="5" t="s">
        <v>14</v>
      </c>
      <c r="H9" s="5">
        <f t="shared" si="0"/>
        <v>4</v>
      </c>
    </row>
    <row r="10" spans="1:8" x14ac:dyDescent="0.25">
      <c r="A10" s="5" t="s">
        <v>13</v>
      </c>
      <c r="B10" s="5" t="s">
        <v>15</v>
      </c>
      <c r="C10" s="5" t="s">
        <v>13</v>
      </c>
      <c r="D10" s="5" t="s">
        <v>10</v>
      </c>
      <c r="E10" s="5" t="s">
        <v>14</v>
      </c>
      <c r="G10" s="5" t="s">
        <v>8</v>
      </c>
      <c r="H10" s="5">
        <f>SUM(H3:H9)</f>
        <v>60</v>
      </c>
    </row>
    <row r="11" spans="1:8" x14ac:dyDescent="0.25">
      <c r="A11" s="5" t="s">
        <v>10</v>
      </c>
      <c r="B11" s="5" t="s">
        <v>10</v>
      </c>
      <c r="C11" s="5" t="s">
        <v>13</v>
      </c>
      <c r="D11" s="5" t="s">
        <v>10</v>
      </c>
      <c r="E11" s="5" t="s">
        <v>10</v>
      </c>
    </row>
    <row r="12" spans="1:8" x14ac:dyDescent="0.25">
      <c r="A12" s="5" t="s">
        <v>14</v>
      </c>
      <c r="B12" s="5" t="s">
        <v>10</v>
      </c>
      <c r="C12" s="5" t="s">
        <v>15</v>
      </c>
      <c r="D12" s="5" t="s">
        <v>10</v>
      </c>
      <c r="E12" s="5" t="s">
        <v>15</v>
      </c>
    </row>
    <row r="13" spans="1:8" x14ac:dyDescent="0.25">
      <c r="A13" s="5" t="s">
        <v>14</v>
      </c>
      <c r="B13" s="5" t="s">
        <v>15</v>
      </c>
      <c r="C13" s="5" t="s">
        <v>12</v>
      </c>
      <c r="D13" s="5" t="s">
        <v>14</v>
      </c>
      <c r="E13" s="5" t="s">
        <v>10</v>
      </c>
    </row>
  </sheetData>
  <sortState ref="A16:A75">
    <sortCondition ref="A16"/>
  </sortState>
  <mergeCells count="1">
    <mergeCell ref="A1:E1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workbookViewId="0">
      <selection activeCell="O28" sqref="O28"/>
    </sheetView>
  </sheetViews>
  <sheetFormatPr defaultRowHeight="15" x14ac:dyDescent="0.25"/>
  <cols>
    <col min="2" max="2" width="3" customWidth="1"/>
    <col min="3" max="3" width="29.5703125" bestFit="1" customWidth="1"/>
    <col min="4" max="4" width="4.140625" bestFit="1" customWidth="1"/>
    <col min="5" max="5" width="3" customWidth="1"/>
    <col min="6" max="12" width="10.140625" customWidth="1"/>
    <col min="13" max="15" width="13.28515625" customWidth="1"/>
  </cols>
  <sheetData>
    <row r="1" spans="1:15" x14ac:dyDescent="0.25">
      <c r="A1" s="2" t="s">
        <v>7</v>
      </c>
    </row>
    <row r="2" spans="1:15" x14ac:dyDescent="0.25">
      <c r="A2" s="1">
        <v>6</v>
      </c>
      <c r="F2" s="4" t="s">
        <v>0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  <c r="N2" s="4" t="s">
        <v>25</v>
      </c>
      <c r="O2" s="4" t="s">
        <v>26</v>
      </c>
    </row>
    <row r="3" spans="1:15" x14ac:dyDescent="0.25">
      <c r="A3" s="1">
        <v>7</v>
      </c>
      <c r="C3" s="3" t="s">
        <v>28</v>
      </c>
      <c r="D3" s="5">
        <f>MAX(A2:A41)</f>
        <v>39</v>
      </c>
      <c r="F3" s="9">
        <f t="shared" ref="F3:F8" si="0">AVERAGE(G3:H3)</f>
        <v>9</v>
      </c>
      <c r="G3" s="9">
        <v>6</v>
      </c>
      <c r="H3" s="11">
        <f t="shared" ref="H3:H8" si="1">G3+6</f>
        <v>12</v>
      </c>
      <c r="I3" s="12">
        <f t="shared" ref="I3:I8" si="2">H3-0.1</f>
        <v>11.9</v>
      </c>
      <c r="J3" s="9">
        <f>K3</f>
        <v>4</v>
      </c>
      <c r="K3" s="9">
        <f t="shared" ref="K3:K8" si="3">FREQUENCY($A$2:$A$41,I3:I8)</f>
        <v>4</v>
      </c>
      <c r="L3" s="9">
        <f>L4+J3</f>
        <v>40</v>
      </c>
      <c r="M3" s="9">
        <f t="shared" ref="M3:M8" si="4">(J3*100)/40</f>
        <v>10</v>
      </c>
      <c r="N3" s="9">
        <f>M3</f>
        <v>10</v>
      </c>
      <c r="O3" s="9">
        <f>O4+M3</f>
        <v>100</v>
      </c>
    </row>
    <row r="4" spans="1:15" x14ac:dyDescent="0.25">
      <c r="A4" s="1">
        <v>9</v>
      </c>
      <c r="C4" s="3" t="s">
        <v>29</v>
      </c>
      <c r="D4" s="5">
        <f>MIN(A2:A41)</f>
        <v>6</v>
      </c>
      <c r="F4" s="9">
        <f t="shared" si="0"/>
        <v>15</v>
      </c>
      <c r="G4" s="11">
        <f>H3</f>
        <v>12</v>
      </c>
      <c r="H4" s="11">
        <f t="shared" si="1"/>
        <v>18</v>
      </c>
      <c r="I4" s="12">
        <f t="shared" si="2"/>
        <v>17.899999999999999</v>
      </c>
      <c r="J4" s="9">
        <f>K4-K3</f>
        <v>8</v>
      </c>
      <c r="K4" s="9">
        <f t="shared" si="3"/>
        <v>12</v>
      </c>
      <c r="L4" s="9">
        <f>L5+J4</f>
        <v>36</v>
      </c>
      <c r="M4" s="9">
        <f t="shared" si="4"/>
        <v>20</v>
      </c>
      <c r="N4" s="9">
        <f>N3+M4</f>
        <v>30</v>
      </c>
      <c r="O4" s="9">
        <f>O5+M4</f>
        <v>90</v>
      </c>
    </row>
    <row r="5" spans="1:15" x14ac:dyDescent="0.25">
      <c r="A5" s="1">
        <v>10</v>
      </c>
      <c r="C5" s="3" t="s">
        <v>30</v>
      </c>
      <c r="D5" s="5">
        <f>MAX(A2:A41)-MIN(A2:A41)</f>
        <v>33</v>
      </c>
      <c r="F5" s="9">
        <f t="shared" si="0"/>
        <v>21</v>
      </c>
      <c r="G5" s="11">
        <f>H4</f>
        <v>18</v>
      </c>
      <c r="H5" s="11">
        <f t="shared" si="1"/>
        <v>24</v>
      </c>
      <c r="I5" s="12">
        <f t="shared" si="2"/>
        <v>23.9</v>
      </c>
      <c r="J5" s="9">
        <f>K5-K4</f>
        <v>16</v>
      </c>
      <c r="K5" s="9">
        <f t="shared" si="3"/>
        <v>28</v>
      </c>
      <c r="L5" s="9">
        <f>L6+J5</f>
        <v>28</v>
      </c>
      <c r="M5" s="9">
        <f t="shared" si="4"/>
        <v>40</v>
      </c>
      <c r="N5" s="9">
        <f>N4+M5</f>
        <v>70</v>
      </c>
      <c r="O5" s="9">
        <f>O6+M5</f>
        <v>70</v>
      </c>
    </row>
    <row r="6" spans="1:15" x14ac:dyDescent="0.25">
      <c r="A6" s="1">
        <v>12</v>
      </c>
      <c r="C6" s="3" t="s">
        <v>27</v>
      </c>
      <c r="D6" s="10">
        <f>ROUND(1+3.32*LOG(40),0)</f>
        <v>6</v>
      </c>
      <c r="F6" s="9">
        <f t="shared" si="0"/>
        <v>27</v>
      </c>
      <c r="G6" s="11">
        <f>H5</f>
        <v>24</v>
      </c>
      <c r="H6" s="11">
        <f t="shared" si="1"/>
        <v>30</v>
      </c>
      <c r="I6" s="12">
        <f t="shared" si="2"/>
        <v>29.9</v>
      </c>
      <c r="J6" s="9">
        <f>K6-K5</f>
        <v>7</v>
      </c>
      <c r="K6" s="9">
        <f t="shared" si="3"/>
        <v>35</v>
      </c>
      <c r="L6" s="9">
        <f>L7+J6</f>
        <v>12</v>
      </c>
      <c r="M6" s="9">
        <f t="shared" si="4"/>
        <v>17.5</v>
      </c>
      <c r="N6" s="9">
        <f>N5+M6</f>
        <v>87.5</v>
      </c>
      <c r="O6" s="9">
        <f>O7+M6</f>
        <v>30</v>
      </c>
    </row>
    <row r="7" spans="1:15" x14ac:dyDescent="0.25">
      <c r="A7" s="1">
        <v>14</v>
      </c>
      <c r="C7" s="3" t="s">
        <v>31</v>
      </c>
      <c r="D7" s="10">
        <f>ROUND(D5/D6,0)</f>
        <v>6</v>
      </c>
      <c r="F7" s="9">
        <f t="shared" si="0"/>
        <v>33</v>
      </c>
      <c r="G7" s="11">
        <f>H6</f>
        <v>30</v>
      </c>
      <c r="H7" s="11">
        <f t="shared" si="1"/>
        <v>36</v>
      </c>
      <c r="I7" s="12">
        <f t="shared" si="2"/>
        <v>35.9</v>
      </c>
      <c r="J7" s="9">
        <f>K7-K6</f>
        <v>4</v>
      </c>
      <c r="K7" s="9">
        <f t="shared" si="3"/>
        <v>39</v>
      </c>
      <c r="L7" s="9">
        <f>L8+J7</f>
        <v>5</v>
      </c>
      <c r="M7" s="9">
        <f t="shared" si="4"/>
        <v>10</v>
      </c>
      <c r="N7" s="9">
        <f>N6+M7</f>
        <v>97.5</v>
      </c>
      <c r="O7" s="9">
        <f>O8+M7</f>
        <v>12.5</v>
      </c>
    </row>
    <row r="8" spans="1:15" x14ac:dyDescent="0.25">
      <c r="A8" s="1">
        <v>15</v>
      </c>
      <c r="C8" s="3" t="s">
        <v>32</v>
      </c>
      <c r="D8" s="5">
        <f>COUNTA(A2:A41)</f>
        <v>40</v>
      </c>
      <c r="F8" s="9">
        <f t="shared" si="0"/>
        <v>39</v>
      </c>
      <c r="G8" s="11">
        <f>H7</f>
        <v>36</v>
      </c>
      <c r="H8" s="11">
        <f t="shared" si="1"/>
        <v>42</v>
      </c>
      <c r="I8" s="12">
        <f t="shared" si="2"/>
        <v>41.9</v>
      </c>
      <c r="J8" s="9">
        <f>K8-K7</f>
        <v>1</v>
      </c>
      <c r="K8" s="9">
        <f t="shared" si="3"/>
        <v>40</v>
      </c>
      <c r="L8" s="9">
        <f>J8</f>
        <v>1</v>
      </c>
      <c r="M8" s="9">
        <f t="shared" si="4"/>
        <v>2.5</v>
      </c>
      <c r="N8" s="9">
        <f>N7+M8</f>
        <v>100</v>
      </c>
      <c r="O8" s="9">
        <f>M8</f>
        <v>2.5</v>
      </c>
    </row>
    <row r="9" spans="1:15" x14ac:dyDescent="0.25">
      <c r="A9" s="1">
        <v>15</v>
      </c>
      <c r="F9" s="9"/>
      <c r="G9" s="11"/>
      <c r="H9" s="11"/>
      <c r="I9" s="12"/>
      <c r="J9" s="9">
        <f>SUM(J3:J8)</f>
        <v>40</v>
      </c>
      <c r="K9" s="9"/>
      <c r="L9" s="9"/>
      <c r="M9" s="9">
        <f>SUM(M3:M8)</f>
        <v>100</v>
      </c>
      <c r="N9" s="9"/>
      <c r="O9" s="9"/>
    </row>
    <row r="10" spans="1:15" x14ac:dyDescent="0.25">
      <c r="A10" s="1">
        <v>15</v>
      </c>
    </row>
    <row r="11" spans="1:15" x14ac:dyDescent="0.25">
      <c r="A11" s="1">
        <v>16</v>
      </c>
    </row>
    <row r="12" spans="1:15" x14ac:dyDescent="0.25">
      <c r="A12" s="1">
        <v>16</v>
      </c>
    </row>
    <row r="13" spans="1:15" x14ac:dyDescent="0.25">
      <c r="A13" s="1">
        <v>17</v>
      </c>
    </row>
    <row r="14" spans="1:15" x14ac:dyDescent="0.25">
      <c r="A14" s="1">
        <v>18</v>
      </c>
    </row>
    <row r="15" spans="1:15" x14ac:dyDescent="0.25">
      <c r="A15" s="1">
        <v>18</v>
      </c>
    </row>
    <row r="16" spans="1:15" x14ac:dyDescent="0.25">
      <c r="A16" s="1">
        <v>18</v>
      </c>
    </row>
    <row r="17" spans="1:1" x14ac:dyDescent="0.25">
      <c r="A17" s="1">
        <v>18</v>
      </c>
    </row>
    <row r="18" spans="1:1" x14ac:dyDescent="0.25">
      <c r="A18" s="1">
        <v>19</v>
      </c>
    </row>
    <row r="19" spans="1:1" x14ac:dyDescent="0.25">
      <c r="A19" s="1">
        <v>19</v>
      </c>
    </row>
    <row r="20" spans="1:1" x14ac:dyDescent="0.25">
      <c r="A20" s="1">
        <v>20</v>
      </c>
    </row>
    <row r="21" spans="1:1" x14ac:dyDescent="0.25">
      <c r="A21" s="1">
        <v>20</v>
      </c>
    </row>
    <row r="22" spans="1:1" x14ac:dyDescent="0.25">
      <c r="A22" s="1">
        <v>20</v>
      </c>
    </row>
    <row r="23" spans="1:1" x14ac:dyDescent="0.25">
      <c r="A23" s="1">
        <v>20</v>
      </c>
    </row>
    <row r="24" spans="1:1" x14ac:dyDescent="0.25">
      <c r="A24" s="1">
        <v>21</v>
      </c>
    </row>
    <row r="25" spans="1:1" x14ac:dyDescent="0.25">
      <c r="A25" s="1">
        <v>21</v>
      </c>
    </row>
    <row r="26" spans="1:1" x14ac:dyDescent="0.25">
      <c r="A26" s="1">
        <v>21</v>
      </c>
    </row>
    <row r="27" spans="1:1" x14ac:dyDescent="0.25">
      <c r="A27" s="1">
        <v>22</v>
      </c>
    </row>
    <row r="28" spans="1:1" x14ac:dyDescent="0.25">
      <c r="A28" s="1">
        <v>22</v>
      </c>
    </row>
    <row r="29" spans="1:1" x14ac:dyDescent="0.25">
      <c r="A29" s="1">
        <v>23</v>
      </c>
    </row>
    <row r="30" spans="1:1" x14ac:dyDescent="0.25">
      <c r="A30" s="1">
        <v>24</v>
      </c>
    </row>
    <row r="31" spans="1:1" x14ac:dyDescent="0.25">
      <c r="A31" s="1">
        <v>25</v>
      </c>
    </row>
    <row r="32" spans="1:1" x14ac:dyDescent="0.25">
      <c r="A32" s="1">
        <v>25</v>
      </c>
    </row>
    <row r="33" spans="1:1" x14ac:dyDescent="0.25">
      <c r="A33" s="1">
        <v>26</v>
      </c>
    </row>
    <row r="34" spans="1:1" x14ac:dyDescent="0.25">
      <c r="A34" s="1">
        <v>26</v>
      </c>
    </row>
    <row r="35" spans="1:1" x14ac:dyDescent="0.25">
      <c r="A35" s="1">
        <v>28</v>
      </c>
    </row>
    <row r="36" spans="1:1" x14ac:dyDescent="0.25">
      <c r="A36" s="1">
        <v>28</v>
      </c>
    </row>
    <row r="37" spans="1:1" x14ac:dyDescent="0.25">
      <c r="A37" s="1">
        <v>30</v>
      </c>
    </row>
    <row r="38" spans="1:1" x14ac:dyDescent="0.25">
      <c r="A38" s="1">
        <v>32</v>
      </c>
    </row>
    <row r="39" spans="1:1" x14ac:dyDescent="0.25">
      <c r="A39" s="1">
        <v>32</v>
      </c>
    </row>
    <row r="40" spans="1:1" x14ac:dyDescent="0.25">
      <c r="A40" s="1">
        <v>35</v>
      </c>
    </row>
    <row r="41" spans="1:1" x14ac:dyDescent="0.25">
      <c r="A41" s="1">
        <v>39</v>
      </c>
    </row>
  </sheetData>
  <sortState ref="A2:A41">
    <sortCondition ref="A2:A41"/>
  </sortState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tabSelected="1" workbookViewId="0">
      <selection activeCell="O26" sqref="O26"/>
    </sheetView>
  </sheetViews>
  <sheetFormatPr defaultRowHeight="15" x14ac:dyDescent="0.25"/>
  <sheetData>
    <row r="1" spans="1:15" x14ac:dyDescent="0.25">
      <c r="A1">
        <v>151</v>
      </c>
      <c r="B1">
        <v>152</v>
      </c>
      <c r="C1">
        <v>154</v>
      </c>
      <c r="D1">
        <v>155</v>
      </c>
      <c r="E1">
        <v>158</v>
      </c>
      <c r="F1">
        <v>159</v>
      </c>
      <c r="G1">
        <v>159</v>
      </c>
      <c r="H1">
        <v>160</v>
      </c>
      <c r="I1">
        <v>161</v>
      </c>
      <c r="J1">
        <v>161</v>
      </c>
      <c r="K1">
        <v>161</v>
      </c>
      <c r="L1">
        <v>162</v>
      </c>
      <c r="M1">
        <v>163</v>
      </c>
      <c r="N1">
        <v>163</v>
      </c>
      <c r="O1">
        <v>163</v>
      </c>
    </row>
    <row r="2" spans="1:15" x14ac:dyDescent="0.25">
      <c r="A2">
        <v>165</v>
      </c>
      <c r="B2">
        <v>165</v>
      </c>
      <c r="C2">
        <v>165</v>
      </c>
      <c r="D2">
        <v>166</v>
      </c>
      <c r="E2">
        <v>166</v>
      </c>
      <c r="F2">
        <v>166</v>
      </c>
      <c r="G2">
        <v>166</v>
      </c>
      <c r="H2">
        <v>167</v>
      </c>
      <c r="I2">
        <v>167</v>
      </c>
      <c r="J2">
        <v>167</v>
      </c>
      <c r="K2">
        <v>167</v>
      </c>
      <c r="L2">
        <v>167</v>
      </c>
      <c r="M2">
        <v>168</v>
      </c>
      <c r="N2">
        <v>168</v>
      </c>
      <c r="O2">
        <v>168</v>
      </c>
    </row>
    <row r="3" spans="1:15" x14ac:dyDescent="0.25">
      <c r="A3">
        <v>168</v>
      </c>
      <c r="B3">
        <v>168</v>
      </c>
      <c r="C3">
        <v>168</v>
      </c>
      <c r="D3">
        <v>168</v>
      </c>
      <c r="E3">
        <v>168</v>
      </c>
      <c r="F3">
        <v>168</v>
      </c>
      <c r="G3">
        <v>169</v>
      </c>
      <c r="H3">
        <v>169</v>
      </c>
      <c r="I3">
        <v>169</v>
      </c>
      <c r="J3">
        <v>169</v>
      </c>
      <c r="K3">
        <v>169</v>
      </c>
      <c r="L3">
        <v>169</v>
      </c>
      <c r="M3">
        <v>169</v>
      </c>
      <c r="N3">
        <v>170</v>
      </c>
      <c r="O3">
        <v>170</v>
      </c>
    </row>
    <row r="4" spans="1:15" x14ac:dyDescent="0.25">
      <c r="A4">
        <v>170</v>
      </c>
      <c r="B4">
        <v>170</v>
      </c>
      <c r="C4">
        <v>170</v>
      </c>
      <c r="D4">
        <v>170</v>
      </c>
      <c r="E4">
        <v>171</v>
      </c>
      <c r="F4">
        <v>171</v>
      </c>
      <c r="G4">
        <v>171</v>
      </c>
      <c r="H4">
        <v>171</v>
      </c>
      <c r="I4">
        <v>172</v>
      </c>
      <c r="J4">
        <v>172</v>
      </c>
      <c r="K4">
        <v>172</v>
      </c>
      <c r="L4">
        <v>173</v>
      </c>
      <c r="M4">
        <v>173</v>
      </c>
      <c r="N4">
        <v>173</v>
      </c>
      <c r="O4">
        <v>174</v>
      </c>
    </row>
    <row r="5" spans="1:15" x14ac:dyDescent="0.25">
      <c r="A5">
        <v>174</v>
      </c>
      <c r="B5">
        <v>175</v>
      </c>
      <c r="C5">
        <v>175</v>
      </c>
      <c r="D5">
        <v>175</v>
      </c>
      <c r="E5">
        <v>175</v>
      </c>
      <c r="F5">
        <v>176</v>
      </c>
      <c r="G5">
        <v>176</v>
      </c>
      <c r="H5">
        <v>176</v>
      </c>
      <c r="I5">
        <v>176</v>
      </c>
      <c r="J5">
        <v>177</v>
      </c>
      <c r="K5">
        <v>177</v>
      </c>
      <c r="L5">
        <v>177</v>
      </c>
      <c r="M5">
        <v>177</v>
      </c>
      <c r="N5">
        <v>178</v>
      </c>
      <c r="O5">
        <v>178</v>
      </c>
    </row>
    <row r="6" spans="1:15" x14ac:dyDescent="0.25">
      <c r="A6">
        <v>179</v>
      </c>
      <c r="B6">
        <v>179</v>
      </c>
      <c r="C6">
        <v>180</v>
      </c>
      <c r="D6">
        <v>180</v>
      </c>
      <c r="E6">
        <v>180</v>
      </c>
      <c r="F6">
        <v>180</v>
      </c>
      <c r="G6">
        <v>181</v>
      </c>
      <c r="H6">
        <v>181</v>
      </c>
      <c r="I6">
        <v>181</v>
      </c>
      <c r="J6">
        <v>182</v>
      </c>
      <c r="K6">
        <v>182</v>
      </c>
      <c r="L6">
        <v>182</v>
      </c>
      <c r="M6">
        <v>183</v>
      </c>
      <c r="N6">
        <v>184</v>
      </c>
      <c r="O6">
        <v>185</v>
      </c>
    </row>
    <row r="7" spans="1:15" x14ac:dyDescent="0.25">
      <c r="A7">
        <v>187</v>
      </c>
      <c r="B7">
        <v>188</v>
      </c>
      <c r="C7">
        <v>190</v>
      </c>
      <c r="D7">
        <v>190</v>
      </c>
    </row>
    <row r="9" spans="1:15" x14ac:dyDescent="0.25">
      <c r="F9" s="14" t="s">
        <v>0</v>
      </c>
      <c r="G9" s="14" t="s">
        <v>18</v>
      </c>
      <c r="H9" s="14" t="s">
        <v>19</v>
      </c>
      <c r="I9" s="14" t="s">
        <v>20</v>
      </c>
      <c r="J9" s="14" t="s">
        <v>1</v>
      </c>
      <c r="K9" s="14" t="s">
        <v>22</v>
      </c>
      <c r="L9" s="14" t="s">
        <v>23</v>
      </c>
      <c r="M9" s="14" t="s">
        <v>33</v>
      </c>
      <c r="N9" s="14" t="s">
        <v>25</v>
      </c>
      <c r="O9" s="14" t="s">
        <v>26</v>
      </c>
    </row>
    <row r="10" spans="1:15" x14ac:dyDescent="0.25">
      <c r="A10" t="s">
        <v>34</v>
      </c>
      <c r="D10">
        <v>190</v>
      </c>
      <c r="F10" s="13">
        <v>153.5</v>
      </c>
      <c r="G10" s="13">
        <v>151</v>
      </c>
      <c r="H10" s="13">
        <v>156</v>
      </c>
      <c r="I10" s="13">
        <v>155.9</v>
      </c>
      <c r="J10" s="13">
        <v>4</v>
      </c>
      <c r="K10" s="13">
        <v>4</v>
      </c>
      <c r="L10" s="13">
        <v>100</v>
      </c>
      <c r="M10" s="13">
        <v>4</v>
      </c>
      <c r="N10" s="13">
        <v>4</v>
      </c>
      <c r="O10" s="13">
        <v>100</v>
      </c>
    </row>
    <row r="11" spans="1:15" x14ac:dyDescent="0.25">
      <c r="A11" t="s">
        <v>35</v>
      </c>
      <c r="D11">
        <v>151</v>
      </c>
      <c r="F11" s="13">
        <v>158.5</v>
      </c>
      <c r="G11" s="13">
        <v>156</v>
      </c>
      <c r="H11" s="13">
        <v>161</v>
      </c>
      <c r="I11" s="13">
        <v>160.9</v>
      </c>
      <c r="J11" s="13">
        <v>4</v>
      </c>
      <c r="K11" s="13">
        <v>8</v>
      </c>
      <c r="L11" s="13">
        <v>96</v>
      </c>
      <c r="M11" s="13">
        <v>4</v>
      </c>
      <c r="N11" s="13">
        <v>8</v>
      </c>
      <c r="O11" s="13">
        <v>96</v>
      </c>
    </row>
    <row r="12" spans="1:15" x14ac:dyDescent="0.25">
      <c r="A12" t="s">
        <v>30</v>
      </c>
      <c r="D12">
        <v>39</v>
      </c>
      <c r="F12" s="13">
        <v>163.5</v>
      </c>
      <c r="G12" s="13">
        <v>161</v>
      </c>
      <c r="H12" s="13">
        <v>166</v>
      </c>
      <c r="I12" s="13">
        <v>165.9</v>
      </c>
      <c r="J12" s="13">
        <v>11</v>
      </c>
      <c r="K12" s="13">
        <v>19</v>
      </c>
      <c r="L12" s="13">
        <v>92</v>
      </c>
      <c r="M12" s="13">
        <v>11</v>
      </c>
      <c r="N12" s="13">
        <v>19</v>
      </c>
      <c r="O12" s="13">
        <v>92</v>
      </c>
    </row>
    <row r="13" spans="1:15" x14ac:dyDescent="0.25">
      <c r="A13" t="s">
        <v>36</v>
      </c>
      <c r="D13">
        <v>8</v>
      </c>
      <c r="F13" s="13">
        <v>168.5</v>
      </c>
      <c r="G13" s="13">
        <v>166</v>
      </c>
      <c r="H13" s="13">
        <v>171</v>
      </c>
      <c r="I13" s="13">
        <v>170.9</v>
      </c>
      <c r="J13" s="13">
        <v>33</v>
      </c>
      <c r="K13" s="13">
        <v>52</v>
      </c>
      <c r="L13" s="13">
        <v>81</v>
      </c>
      <c r="M13" s="13">
        <v>33</v>
      </c>
      <c r="N13" s="13">
        <v>52</v>
      </c>
      <c r="O13" s="13">
        <v>81</v>
      </c>
    </row>
    <row r="14" spans="1:15" x14ac:dyDescent="0.25">
      <c r="A14" t="s">
        <v>37</v>
      </c>
      <c r="D14">
        <v>5</v>
      </c>
      <c r="F14" s="13">
        <v>173.5</v>
      </c>
      <c r="G14" s="13">
        <v>171</v>
      </c>
      <c r="H14" s="13">
        <v>176</v>
      </c>
      <c r="I14" s="13">
        <v>175.9</v>
      </c>
      <c r="J14" s="13">
        <v>17</v>
      </c>
      <c r="K14" s="13">
        <v>69</v>
      </c>
      <c r="L14" s="13">
        <v>48</v>
      </c>
      <c r="M14" s="13">
        <v>17</v>
      </c>
      <c r="N14" s="13">
        <v>69</v>
      </c>
      <c r="O14" s="13">
        <v>48</v>
      </c>
    </row>
    <row r="15" spans="1:15" x14ac:dyDescent="0.25">
      <c r="A15" t="s">
        <v>32</v>
      </c>
      <c r="D15">
        <v>100</v>
      </c>
      <c r="F15" s="13">
        <v>178.5</v>
      </c>
      <c r="G15" s="13">
        <v>176</v>
      </c>
      <c r="H15" s="13">
        <v>181</v>
      </c>
      <c r="I15" s="13">
        <v>180.9</v>
      </c>
      <c r="J15" s="13">
        <v>17</v>
      </c>
      <c r="K15" s="13">
        <v>86</v>
      </c>
      <c r="L15" s="13">
        <v>31</v>
      </c>
      <c r="M15" s="13">
        <v>17</v>
      </c>
      <c r="N15" s="13">
        <v>86</v>
      </c>
      <c r="O15" s="13">
        <v>31</v>
      </c>
    </row>
    <row r="16" spans="1:15" x14ac:dyDescent="0.25">
      <c r="F16" s="13">
        <v>183.5</v>
      </c>
      <c r="G16" s="13">
        <v>181</v>
      </c>
      <c r="H16" s="13">
        <v>186</v>
      </c>
      <c r="I16" s="13">
        <v>185.9</v>
      </c>
      <c r="J16" s="13">
        <v>9</v>
      </c>
      <c r="K16" s="13">
        <v>95</v>
      </c>
      <c r="L16" s="13">
        <v>14</v>
      </c>
      <c r="M16" s="13">
        <v>9</v>
      </c>
      <c r="N16" s="13">
        <v>95</v>
      </c>
      <c r="O16" s="13">
        <v>14</v>
      </c>
    </row>
    <row r="17" spans="6:15" x14ac:dyDescent="0.25">
      <c r="F17" s="13">
        <v>188.5</v>
      </c>
      <c r="G17" s="13">
        <v>186</v>
      </c>
      <c r="H17" s="13">
        <v>191</v>
      </c>
      <c r="I17" s="13">
        <v>190.9</v>
      </c>
      <c r="J17" s="13">
        <v>5</v>
      </c>
      <c r="K17" s="13">
        <v>100</v>
      </c>
      <c r="L17" s="13">
        <v>5</v>
      </c>
      <c r="M17" s="13">
        <v>5</v>
      </c>
      <c r="N17" s="13">
        <v>100</v>
      </c>
      <c r="O17" s="13">
        <v>5</v>
      </c>
    </row>
    <row r="18" spans="6:15" x14ac:dyDescent="0.25">
      <c r="F18" s="13"/>
      <c r="G18" s="13"/>
      <c r="H18" s="13"/>
      <c r="I18" s="13"/>
      <c r="J18" s="13">
        <v>100</v>
      </c>
      <c r="K18" s="13"/>
      <c r="L18" s="13"/>
      <c r="M18" s="13"/>
      <c r="N18" s="13"/>
      <c r="O18" s="13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Plan1</vt:lpstr>
      <vt:lpstr>Plan2</vt:lpstr>
      <vt:lpstr>Plan3</vt:lpstr>
      <vt:lpstr>Plan4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fatecscs</cp:lastModifiedBy>
  <dcterms:created xsi:type="dcterms:W3CDTF">2015-03-12T22:03:42Z</dcterms:created>
  <dcterms:modified xsi:type="dcterms:W3CDTF">2020-02-18T18:04:05Z</dcterms:modified>
</cp:coreProperties>
</file>